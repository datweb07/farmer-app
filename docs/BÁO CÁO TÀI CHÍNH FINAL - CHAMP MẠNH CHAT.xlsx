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7b49940a034d22" /></Relationships>
</file>

<file path=xl/workbook.xml><?xml version="1.0" encoding="utf-8"?>
<x:workbook xmlns:x="http://schemas.openxmlformats.org/spreadsheetml/2006/main">
  <x:sheets>
    <x:sheet xmlns:r="http://schemas.openxmlformats.org/officeDocument/2006/relationships" name="Tóm tắt" sheetId="1" r:id="R32cc9dc06f6e4940"/>
    <x:sheet xmlns:r="http://schemas.openxmlformats.org/officeDocument/2006/relationships" name="Phần 5 nộp hồ sơ" sheetId="2" r:id="R08e21f727ba9412f"/>
    <x:sheet xmlns:r="http://schemas.openxmlformats.org/officeDocument/2006/relationships" name="Giả định" sheetId="3" r:id="Rd04bd6c097cc4afa"/>
    <x:sheet xmlns:r="http://schemas.openxmlformats.org/officeDocument/2006/relationships" name="Mô hình 5 năm" sheetId="4" r:id="R0e48c41f0d2d4dd5"/>
    <x:sheet xmlns:r="http://schemas.openxmlformats.org/officeDocument/2006/relationships" name="Dòng tiền 24 tháng" sheetId="5" r:id="R947e8e5fbe434c84"/>
    <x:sheet xmlns:r="http://schemas.openxmlformats.org/officeDocument/2006/relationships" name="Nguồn vốn" sheetId="6" r:id="R13c5ca380cd44ca9"/>
    <x:sheet xmlns:r="http://schemas.openxmlformats.org/officeDocument/2006/relationships" name="Độ nhạy" sheetId="7" r:id="R1224b35163364db9"/>
    <x:sheet xmlns:r="http://schemas.openxmlformats.org/officeDocument/2006/relationships" name="Kiểm tra" sheetId="8" r:id="R3ab217371c0d4530"/>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Red](#,##0);-"/>
    <x:numFmt numFmtId="201" formatCode="0.0%;[Red](0.0%);-"/>
    <x:numFmt numFmtId="202" formatCode="0"/>
    <x:numFmt numFmtId="203" formatCode="0.0"/>
    <x:numFmt numFmtId="204" formatCode="mmm-yy"/>
    <x:numFmt numFmtId="205" formatCode="0.00"/>
  </x:numFmts>
  <x:fonts count="8">
    <x:font>
      <x:sz val="11"/>
      <x:name val="Carlito"/>
    </x:font>
    <x:font>
      <x:sz val="10"/>
      <x:color rgb="FF1F2937"/>
      <x:name val="Arial"/>
    </x:font>
    <x:font>
      <x:b/>
      <x:sz val="15"/>
      <x:color rgb="FF17365D"/>
      <x:name val="Arial"/>
    </x:font>
    <x:font>
      <x:b/>
      <x:sz val="10"/>
      <x:color rgb="FFFFFFFF"/>
      <x:name val="Arial"/>
    </x:font>
    <x:font>
      <x:sz val="10"/>
      <x:color rgb="FF0000FF"/>
      <x:name val="Arial"/>
    </x:font>
    <x:font>
      <x:b/>
      <x:sz val="10"/>
      <x:color rgb="FF1F2937"/>
      <x:name val="Arial"/>
    </x:font>
    <x:font>
      <x:sz val="10"/>
      <x:color rgb="FF008000"/>
      <x:name val="Arial"/>
    </x:font>
    <x:font>
      <x:i/>
      <x:sz val="9"/>
      <x:color rgb="FF5B6573"/>
      <x:name val="Arial"/>
    </x:font>
  </x:fonts>
  <x:fills count="6">
    <x:fill>
      <x:patternFill patternType="none"/>
    </x:fill>
    <x:fill>
      <x:patternFill patternType="gray125"/>
    </x:fill>
    <x:fill>
      <x:patternFill patternType="solid">
        <x:fgColor rgb="FF1F6B4F"/>
      </x:patternFill>
    </x:fill>
    <x:fill>
      <x:patternFill patternType="solid">
        <x:fgColor rgb="FFFFF2CC"/>
      </x:patternFill>
    </x:fill>
    <x:fill>
      <x:patternFill patternType="solid">
        <x:fgColor rgb="FF17365D"/>
      </x:patternFill>
    </x:fill>
    <x:fill>
      <x:patternFill patternType="solid">
        <x:fgColor rgb="FFF3F6F8"/>
      </x:patternFill>
    </x:fill>
  </x:fills>
  <x:borders count="10">
    <x:border/>
    <x:border>
      <x:bottom style="thin">
        <x:color rgb="FF17365D"/>
      </x:bottom>
    </x:border>
    <x:border>
      <x:left style="thin">
        <x:color rgb="FFFFFFFF"/>
      </x:left>
      <x:right style="thin">
        <x:color rgb="FFFFFFFF"/>
      </x:right>
      <x:top style="thin">
        <x:color rgb="FFFFFFFF"/>
      </x:top>
      <x:bottom style="thin">
        <x:color rgb="FFFFFFFF"/>
      </x:bottom>
    </x:border>
    <x:border>
      <x:bottom style="thin">
        <x:color rgb="FFD9E1F2"/>
      </x:bottom>
    </x:border>
    <x:border>
      <x:top style="thin">
        <x:color rgb="FFD9E1F2"/>
      </x:top>
      <x:bottom style="thin">
        <x:color rgb="FFD9E1F2"/>
      </x:bottom>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top style="double">
        <x:color rgb="FF17365D"/>
      </x:top>
    </x:border>
    <x:border>
      <x:top style="double">
        <x:color rgb="FF17365D"/>
      </x:top>
      <x:bottom style="thin">
        <x:color rgb="FFD9E1F2"/>
      </x:bottom>
    </x:border>
  </x:borders>
  <x:cellStyleXfs count="1">
    <x:xf numFmtId="0" fontId="0" fillId="0" borderId="0"/>
  </x:cellStyleXfs>
  <x:cellXfs count="9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1"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0" fontId="1" fillId="0" borderId="4"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3" borderId="3" xfId="0" applyNumberFormat="1" applyFont="1" applyFill="1" applyBorder="1" applyAlignment="1">
      <x:alignment vertical="center" wrapText="1"/>
    </x:xf>
    <x:xf numFmtId="0" fontId="4" fillId="3" borderId="4" xfId="0" applyNumberFormat="1" applyFont="1" applyFill="1" applyBorder="1" applyAlignment="1">
      <x:alignment vertical="center" wrapText="1"/>
    </x:xf>
    <x:xf numFmtId="200" fontId="4" fillId="3" borderId="3" xfId="0" applyNumberFormat="1" applyFont="1" applyFill="1" applyBorder="1" applyAlignment="1">
      <x:alignment vertical="center" wrapText="1"/>
    </x:xf>
    <x:xf numFmtId="200" fontId="4" fillId="3" borderId="4" xfId="0" applyNumberFormat="1" applyFont="1" applyFill="1" applyBorder="1" applyAlignment="1">
      <x:alignment vertical="center" wrapText="1"/>
    </x:xf>
    <x:xf numFmtId="201" fontId="4" fillId="3" borderId="4" xfId="0" applyNumberFormat="1" applyFont="1" applyFill="1" applyBorder="1" applyAlignment="1">
      <x:alignment vertical="center" wrapText="1"/>
    </x:xf>
    <x:xf numFmtId="0" fontId="1"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3" fillId="4" borderId="5" xfId="0" applyNumberFormat="1" applyFont="1" applyFill="1" applyBorder="1" applyAlignment="1">
      <x:alignment vertical="center"/>
    </x:xf>
    <x:xf numFmtId="0" fontId="3" fillId="4" borderId="6" xfId="0" applyNumberFormat="1" applyFont="1" applyFill="1" applyBorder="1" applyAlignment="1">
      <x:alignment vertical="center"/>
    </x:xf>
    <x:xf numFmtId="0" fontId="3" fillId="4" borderId="7" xfId="0" applyNumberFormat="1" applyFont="1" applyFill="1" applyBorder="1" applyAlignment="1">
      <x:alignment vertical="center"/>
    </x:xf>
    <x:xf numFmtId="0" fontId="1" fillId="0" borderId="0" xfId="0" applyNumberFormat="1" applyFont="1" applyFill="1" applyBorder="1" applyAlignment="1">
      <x:alignment vertical="center" wrapText="0"/>
    </x:xf>
    <x:xf numFmtId="0" fontId="1" fillId="0" borderId="3" xfId="0" applyNumberFormat="1" applyFont="1" applyFill="1" applyBorder="1" applyAlignment="1">
      <x:alignment vertical="center" wrapText="0"/>
    </x:xf>
    <x:xf numFmtId="0" fontId="1" fillId="0" borderId="4" xfId="0" applyNumberFormat="1" applyFont="1" applyFill="1" applyBorder="1" applyAlignment="1">
      <x:alignment vertical="center" wrapText="0"/>
    </x:xf>
    <x:xf numFmtId="0" fontId="4" fillId="0" borderId="3" xfId="0" applyNumberFormat="1" applyFont="1" applyFill="1" applyBorder="1" applyAlignment="1">
      <x:alignment vertical="center" wrapText="0"/>
    </x:xf>
    <x:xf numFmtId="0" fontId="4" fillId="0" borderId="4" xfId="0" applyNumberFormat="1" applyFont="1" applyFill="1" applyBorder="1" applyAlignment="1">
      <x:alignment vertical="center" wrapText="0"/>
    </x:xf>
    <x:xf numFmtId="0" fontId="4" fillId="3" borderId="3" xfId="0" applyNumberFormat="1" applyFont="1" applyFill="1" applyBorder="1" applyAlignment="1">
      <x:alignment vertical="center" wrapText="0"/>
    </x:xf>
    <x:xf numFmtId="0" fontId="4" fillId="3" borderId="4" xfId="0" applyNumberFormat="1" applyFont="1" applyFill="1" applyBorder="1" applyAlignment="1">
      <x:alignment vertical="center" wrapText="0"/>
    </x:xf>
    <x:xf numFmtId="200" fontId="4" fillId="3" borderId="3" xfId="0" applyNumberFormat="1" applyFont="1" applyFill="1" applyBorder="1" applyAlignment="1">
      <x:alignment vertical="center" wrapText="0"/>
    </x:xf>
    <x:xf numFmtId="200" fontId="4" fillId="3" borderId="4" xfId="0" applyNumberFormat="1" applyFont="1" applyFill="1" applyBorder="1" applyAlignment="1">
      <x:alignment vertical="center" wrapText="0"/>
    </x:xf>
    <x:xf numFmtId="0" fontId="5" fillId="0" borderId="0" xfId="0" applyNumberFormat="1" applyFont="1" applyFill="1" applyBorder="1"/>
    <x:xf numFmtId="0" fontId="5" fillId="0" borderId="8" xfId="0" applyNumberFormat="1" applyFont="1" applyFill="1" applyBorder="1"/>
    <x:xf numFmtId="200" fontId="5" fillId="0" borderId="8" xfId="0" applyNumberFormat="1" applyFont="1" applyFill="1" applyBorder="1"/>
    <x:xf numFmtId="202" fontId="4" fillId="3" borderId="4" xfId="0" applyNumberFormat="1" applyFont="1" applyFill="1" applyBorder="1" applyAlignment="1">
      <x:alignment vertical="center" wrapText="0"/>
    </x:xf>
    <x:xf numFmtId="201" fontId="4" fillId="3" borderId="4" xfId="0" applyNumberFormat="1" applyFont="1" applyFill="1" applyBorder="1" applyAlignment="1">
      <x:alignment vertical="center" wrapText="0"/>
    </x:xf>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top" wrapText="1"/>
    </x:xf>
    <x:xf numFmtId="0" fontId="6" fillId="0" borderId="3" xfId="0" applyNumberFormat="1" applyFont="1" applyFill="1" applyBorder="1" applyAlignment="1">
      <x:alignment vertical="center" wrapText="0"/>
    </x:xf>
    <x:xf numFmtId="0" fontId="6" fillId="0" borderId="4" xfId="0" applyNumberFormat="1" applyFont="1" applyFill="1" applyBorder="1" applyAlignment="1">
      <x:alignment vertical="center" wrapText="0"/>
    </x:xf>
    <x:xf numFmtId="200" fontId="6" fillId="0" borderId="4" xfId="0" applyNumberFormat="1" applyFont="1" applyFill="1" applyBorder="1" applyAlignment="1">
      <x:alignment vertical="center" wrapText="0"/>
    </x:xf>
    <x:xf numFmtId="200" fontId="1" fillId="0" borderId="4" xfId="0" applyNumberFormat="1" applyFont="1" applyFill="1" applyBorder="1" applyAlignment="1">
      <x:alignment vertical="center" wrapText="0"/>
    </x:xf>
    <x:xf numFmtId="203" fontId="6" fillId="0" borderId="3" xfId="0" applyNumberFormat="1" applyFont="1" applyFill="1" applyBorder="1" applyAlignment="1">
      <x:alignment vertical="center" wrapText="0"/>
    </x:xf>
    <x:xf numFmtId="201" fontId="1" fillId="0" borderId="4" xfId="0" applyNumberFormat="1" applyFont="1" applyFill="1" applyBorder="1" applyAlignment="1">
      <x:alignment vertical="center" wrapText="0"/>
    </x:xf>
    <x:xf numFmtId="0" fontId="5" fillId="0" borderId="4" xfId="0" applyNumberFormat="1" applyFont="1" applyFill="1" applyBorder="1" applyAlignment="1">
      <x:alignment vertical="center" wrapText="0"/>
    </x:xf>
    <x:xf numFmtId="200" fontId="5" fillId="0" borderId="4" xfId="0" applyNumberFormat="1" applyFont="1" applyFill="1" applyBorder="1" applyAlignment="1">
      <x:alignment vertical="center" wrapText="0"/>
    </x:xf>
    <x:xf numFmtId="201" fontId="5" fillId="0" borderId="4" xfId="0" applyNumberFormat="1" applyFont="1" applyFill="1" applyBorder="1" applyAlignment="1">
      <x:alignment vertical="center" wrapText="0"/>
    </x:xf>
    <x:xf numFmtId="0" fontId="5" fillId="0" borderId="9" xfId="0" applyNumberFormat="1" applyFont="1" applyFill="1" applyBorder="1" applyAlignment="1">
      <x:alignment vertical="center" wrapText="0"/>
    </x:xf>
    <x:xf numFmtId="200" fontId="5" fillId="0" borderId="9" xfId="0" applyNumberFormat="1" applyFont="1" applyFill="1" applyBorder="1" applyAlignment="1">
      <x:alignment vertical="center" wrapText="0"/>
    </x:xf>
    <x:xf numFmtId="200" fontId="1" fillId="0" borderId="3" xfId="0" applyNumberFormat="1" applyFont="1" applyFill="1" applyBorder="1" applyAlignment="1">
      <x:alignment vertical="center" wrapText="1"/>
    </x:xf>
    <x:xf numFmtId="200" fontId="1" fillId="0" borderId="4" xfId="0" applyNumberFormat="1" applyFont="1" applyFill="1" applyBorder="1" applyAlignment="1">
      <x:alignment vertical="center" wrapText="1"/>
    </x:xf>
    <x:xf numFmtId="0" fontId="7" fillId="0" borderId="0" xfId="0" applyNumberFormat="1" applyFont="1" applyFill="1" applyBorder="1"/>
    <x:xf numFmtId="200" fontId="7" fillId="0" borderId="0" xfId="0" applyNumberFormat="1" applyFont="1" applyFill="1" applyBorder="1"/>
    <x:xf numFmtId="201" fontId="1" fillId="0" borderId="3" xfId="0" applyNumberFormat="1" applyFont="1" applyFill="1" applyBorder="1" applyAlignment="1">
      <x:alignment vertical="center" wrapText="1"/>
    </x:xf>
    <x:xf numFmtId="201" fontId="1" fillId="0" borderId="4" xfId="0" applyNumberFormat="1" applyFont="1" applyFill="1" applyBorder="1" applyAlignment="1">
      <x:alignment vertical="center" wrapText="1"/>
    </x:xf>
    <x:xf numFmtId="0" fontId="5" fillId="0" borderId="4" xfId="0" applyNumberFormat="1" applyFont="1" applyFill="1" applyBorder="1" applyAlignment="1">
      <x:alignment vertical="center" wrapText="1"/>
    </x:xf>
    <x:xf numFmtId="201" fontId="5" fillId="0" borderId="4" xfId="0" applyNumberFormat="1" applyFont="1" applyFill="1" applyBorder="1" applyAlignment="1">
      <x:alignment vertical="center" wrapText="1"/>
    </x:xf>
    <x:xf numFmtId="0" fontId="5" fillId="0" borderId="9" xfId="0" applyNumberFormat="1" applyFont="1" applyFill="1" applyBorder="1" applyAlignment="1">
      <x:alignment vertical="center" wrapText="1"/>
    </x:xf>
    <x:xf numFmtId="201" fontId="5" fillId="0" borderId="9" xfId="0" applyNumberFormat="1" applyFont="1" applyFill="1" applyBorder="1" applyAlignment="1">
      <x:alignment vertical="center" wrapText="1"/>
    </x:xf>
    <x:xf numFmtId="200" fontId="1" fillId="0" borderId="3" xfId="0" applyNumberFormat="1" applyFont="1" applyFill="1" applyBorder="1" applyAlignment="1">
      <x:alignment vertical="center" wrapText="0"/>
    </x:xf>
    <x:xf numFmtId="201" fontId="1" fillId="0" borderId="3" xfId="0" applyNumberFormat="1" applyFont="1" applyFill="1" applyBorder="1" applyAlignment="1">
      <x:alignment vertical="center" wrapText="0"/>
    </x:xf>
    <x:xf numFmtId="201" fontId="5" fillId="0" borderId="9" xfId="0" applyNumberFormat="1" applyFont="1" applyFill="1" applyBorder="1" applyAlignment="1">
      <x:alignment vertical="center" wrapText="0"/>
    </x:xf>
    <x:xf numFmtId="204" fontId="1" fillId="0" borderId="0" xfId="0" applyNumberFormat="1" applyFont="1" applyFill="1" applyBorder="1"/>
    <x:xf numFmtId="204" fontId="1" fillId="0" borderId="0" xfId="0" applyNumberFormat="1" applyFont="1" applyFill="1" applyBorder="1" applyAlignment="1">
      <x:alignment vertical="center"/>
    </x:xf>
    <x:xf numFmtId="204" fontId="1" fillId="0" borderId="0" xfId="0" applyNumberFormat="1" applyFont="1" applyFill="1" applyBorder="1" applyAlignment="1">
      <x:alignment vertical="center" wrapText="0"/>
    </x:xf>
    <x:xf numFmtId="204" fontId="1" fillId="0" borderId="3" xfId="0" applyNumberFormat="1" applyFont="1" applyFill="1" applyBorder="1" applyAlignment="1">
      <x:alignment vertical="center" wrapText="0"/>
    </x:xf>
    <x:xf numFmtId="204" fontId="1" fillId="0" borderId="4" xfId="0" applyNumberFormat="1" applyFont="1" applyFill="1" applyBorder="1" applyAlignment="1">
      <x:alignment vertical="center" wrapText="0"/>
    </x:xf>
    <x:xf numFmtId="201" fontId="4" fillId="3" borderId="3" xfId="0" applyNumberFormat="1" applyFont="1" applyFill="1" applyBorder="1" applyAlignment="1">
      <x:alignment vertical="center" wrapText="0"/>
    </x:xf>
    <x:xf numFmtId="0" fontId="1" fillId="0" borderId="3" xfId="0" applyNumberFormat="1" applyFont="1" applyFill="1" applyBorder="1" applyAlignment="1">
      <x:alignment horizontal="center" vertical="center" wrapText="0"/>
    </x:xf>
    <x:xf numFmtId="0" fontId="1" fillId="0" borderId="4" xfId="0" applyNumberFormat="1" applyFont="1" applyFill="1" applyBorder="1" applyAlignment="1">
      <x:alignment horizontal="center" vertical="center" wrapText="0"/>
    </x:xf>
    <x:xf numFmtId="0" fontId="1" fillId="5" borderId="0" xfId="0" applyNumberFormat="1" applyFont="1" applyFill="1" applyBorder="1" applyAlignment="1">
      <x:alignment vertical="center" wrapText="1"/>
    </x:xf>
    <x:xf numFmtId="200" fontId="6" fillId="0" borderId="3" xfId="0" applyNumberFormat="1" applyFont="1" applyFill="1" applyBorder="1" applyAlignment="1">
      <x:alignment vertical="center" wrapText="0"/>
    </x:xf>
    <x:xf numFmtId="203" fontId="6" fillId="0" borderId="4" xfId="0" applyNumberFormat="1" applyFont="1" applyFill="1" applyBorder="1" applyAlignment="1">
      <x:alignment vertical="center" wrapText="0"/>
    </x:xf>
    <x:xf numFmtId="205" fontId="1" fillId="0" borderId="3" xfId="0" applyNumberFormat="1" applyFont="1" applyFill="1" applyBorder="1" applyAlignment="1">
      <x:alignment vertical="center" wrapText="0"/>
    </x:xf>
    <x:xf numFmtId="205" fontId="1" fillId="0" borderId="4" xfId="0" applyNumberFormat="1" applyFont="1" applyFill="1" applyBorder="1" applyAlignment="1">
      <x:alignment vertical="center" wrapText="0"/>
    </x:xf>
    <x:xf numFmtId="200" fontId="1" fillId="0" borderId="0" xfId="0" applyNumberFormat="1" applyFont="1" applyFill="1" applyBorder="1"/>
    <x:xf numFmtId="0" fontId="1"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1" fillId="0" borderId="1" xfId="0" applyNumberFormat="1" applyFont="1" applyFill="1" applyBorder="1" applyAlignment="1">
      <x:alignment vertical="center"/>
    </x:xf>
    <x:xf numFmtId="200" fontId="1" fillId="0" borderId="0" xfId="0" applyNumberFormat="1" applyFont="1" applyFill="1" applyBorder="1" applyAlignment="1">
      <x:alignment vertical="center"/>
    </x:xf>
    <x:xf numFmtId="0" fontId="5" fillId="0" borderId="8" xfId="0" applyNumberFormat="1" applyFont="1" applyFill="1" applyBorder="1" applyAlignment="1">
      <x:alignment vertical="center"/>
    </x:xf>
    <x:xf numFmtId="200" fontId="5" fillId="0" borderId="8" xfId="0" applyNumberFormat="1" applyFont="1" applyFill="1" applyBorder="1" applyAlignment="1">
      <x:alignment vertical="center"/>
    </x:xf>
    <x:xf numFmtId="0" fontId="7" fillId="0" borderId="0" xfId="0" applyNumberFormat="1" applyFont="1" applyFill="1" applyBorder="1" applyAlignment="1">
      <x:alignment vertical="center"/>
    </x:xf>
    <x:xf numFmtId="200" fontId="7" fillId="0" borderId="0" xfId="0" applyNumberFormat="1" applyFont="1" applyFill="1" applyBorder="1" applyAlignment="1">
      <x:alignment vertical="center"/>
    </x:xf>
  </x:cellXfs>
  <x:cellStyles count="1">
    <x:cellStyle name="Normal" xfId="0"/>
  </x:cellStyles>
  <x:dxfs count="3">
    <x:dxf>
      <x:font>
        <x:b/>
        <x:color rgb="FFC00000"/>
      </x:font>
      <x:fill>
        <x:patternFill patternType="solid">
          <x:bgColor rgb="FFFCE8E6"/>
        </x:patternFill>
      </x:fill>
    </x:dxf>
    <x:dxf>
      <x:font>
        <x:b/>
        <x:color rgb="FFC00000"/>
      </x:font>
      <x:fill>
        <x:patternFill patternType="solid">
          <x:bgColor rgb="FFFCE8E6"/>
        </x:patternFill>
      </x:fill>
    </x:dxf>
    <x:dxf>
      <x:font>
        <x:b/>
        <x:color rgb="FFC00000"/>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66e9dcc0c74d8f" /><Relationship Type="http://schemas.openxmlformats.org/officeDocument/2006/relationships/theme" Target="/xl/theme/theme1.xml" Id="R7e645767fe5c49d1" /><Relationship Type="http://schemas.openxmlformats.org/officeDocument/2006/relationships/sharedStrings" Target="/xl/sharedStrings.xml" Id="R83a47379820745c8" /><Relationship Type="http://schemas.openxmlformats.org/officeDocument/2006/relationships/worksheet" Target="/xl/worksheets/sheet1.xml" Id="R32cc9dc06f6e4940" /><Relationship Type="http://schemas.openxmlformats.org/officeDocument/2006/relationships/worksheet" Target="/xl/worksheets/sheet2.xml" Id="R08e21f727ba9412f" /><Relationship Type="http://schemas.openxmlformats.org/officeDocument/2006/relationships/worksheet" Target="/xl/worksheets/sheet3.xml" Id="Rd04bd6c097cc4afa" /><Relationship Type="http://schemas.openxmlformats.org/officeDocument/2006/relationships/worksheet" Target="/xl/worksheets/sheet4.xml" Id="R0e48c41f0d2d4dd5" /><Relationship Type="http://schemas.openxmlformats.org/officeDocument/2006/relationships/worksheet" Target="/xl/worksheets/sheet5.xml" Id="R947e8e5fbe434c84" /><Relationship Type="http://schemas.openxmlformats.org/officeDocument/2006/relationships/worksheet" Target="/xl/worksheets/sheet6.xml" Id="R13c5ca380cd44ca9" /><Relationship Type="http://schemas.openxmlformats.org/officeDocument/2006/relationships/worksheet" Target="/xl/worksheets/sheet7.xml" Id="R1224b35163364db9" /><Relationship Type="http://schemas.openxmlformats.org/officeDocument/2006/relationships/worksheet" Target="/xl/worksheets/sheet8.xml" Id="R3ab217371c0d4530" /></Relationships>
</file>

<file path=xl/drawings/_rels/drawing1.xml.rels>&#65279;<?xml version="1.0" encoding="utf-8"?><Relationships xmlns="http://schemas.openxmlformats.org/package/2006/relationships"><Relationship Type="http://schemas.openxmlformats.org/officeDocument/2006/relationships/chart" Target="/xl/drawings/charts/chart1.xml" Id="Rdd2643ac51324522" /></Relationships>
</file>

<file path=xl/drawings/_rels/drawing2.xml.rels>&#65279;<?xml version="1.0" encoding="utf-8"?><Relationships xmlns="http://schemas.openxmlformats.org/package/2006/relationships"><Relationship Type="http://schemas.openxmlformats.org/officeDocument/2006/relationships/chart" Target="/xl/drawings/charts/chart2.xml" Id="Rde9f2458211044f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Doanh thu và EBITDA (triệu đồng)</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Doanh thu</c:v>
          </c:tx>
          <c:marker>
            <c:symbol val="none"/>
          </c:marker>
          <c:cat>
            <c:strRef>
              <c:f>'Tóm tắt'!$H$21:$H$25</c:f>
              <c:strCache>
                <c:ptCount val="0"/>
              </c:strCache>
            </c:strRef>
          </c:cat>
          <c:val>
            <c:numRef>
              <c:f>'Tóm tắt'!$I$21:$I$25</c:f>
              <c:numCache>
                <c:formatCode>#,##0;[Red](#,##0);-</c:formatCode>
                <c:ptCount val="0"/>
              </c:numCache>
            </c:numRef>
          </c:val>
          <c:smooth val="0"/>
        </c:ser>
        <c:ser>
          <c:idx val="1"/>
          <c:order val="1"/>
          <c:tx>
            <c:v>EBITDA</c:v>
          </c:tx>
          <c:marker>
            <c:symbol val="none"/>
          </c:marker>
          <c:cat>
            <c:strRef>
              <c:f>'Tóm tắt'!$H$21:$H$25</c:f>
              <c:strCache>
                <c:ptCount val="0"/>
              </c:strCache>
            </c:strRef>
          </c:cat>
          <c:val>
            <c:numRef>
              <c:f>'Tóm tắt'!$J$21:$J$25</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Tiền cuối kỳ theo tháng (triệu đồng)</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lineChart>
        <c:grouping val="standard"/>
        <c:varyColors val="0"/>
        <c:ser>
          <c:idx val="0"/>
          <c:order val="0"/>
          <c:tx>
            <c:v>Tiền cuối kỳ</c:v>
          </c:tx>
          <c:marker>
            <c:symbol val="none"/>
          </c:marker>
          <c:cat>
            <c:strRef>
              <c:f>'Dòng tiền 24 tháng'!$A$5:$A$28</c:f>
              <c:strCache>
                <c:ptCount val="0"/>
              </c:strCache>
            </c:strRef>
          </c:cat>
          <c:val>
            <c:numRef>
              <c:f>'Dòng tiền 24 tháng'!$P$5:$P$28</c:f>
              <c:numCache>
                <c:formatCode>#,##0;[Red](#,##0);-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3</xdr:row>
      <xdr:rowOff>0</xdr:rowOff>
    </xdr:from>
    <xdr:to>
      <xdr:col>14</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d2643ac51324522"/>
        </a:graphicData>
      </a:graphic>
    </xdr:graphicFrame>
    <xdr:clientData/>
  </xdr:twoCellAnchor>
</xdr:wsDr>
</file>

<file path=xl/drawings/drawing2.xml><?xml version="1.0" encoding="utf-8"?>
<xdr:wsDr xmlns:xdr="http://schemas.openxmlformats.org/drawingml/2006/spreadsheetDrawing">
  <xdr:twoCellAnchor>
    <xdr:from>
      <xdr:col>17</xdr:col>
      <xdr:colOff>0</xdr:colOff>
      <xdr:row>3</xdr:row>
      <xdr:rowOff>0</xdr:rowOff>
    </xdr:from>
    <xdr:to>
      <xdr:col>26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e9f2458211044f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6d47f87f4d64268" /></Relationships>
</file>

<file path=xl/worksheets/_rels/sheet5.xml.rels>&#65279;<?xml version="1.0" encoding="utf-8"?><Relationships xmlns="http://schemas.openxmlformats.org/package/2006/relationships"><Relationship Type="http://schemas.openxmlformats.org/officeDocument/2006/relationships/drawing" Target="/xl/drawings/drawing2.xml" Id="R8a47d5ae20fd44a3"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32" hidden="0" customWidth="1"/>
    <x:col min="2" max="2" width="16" hidden="0" customWidth="1"/>
    <x:col min="3" max="3" width="3" hidden="0" customWidth="1"/>
    <x:col min="4" max="4" width="13" hidden="0" customWidth="1"/>
    <x:col min="5" max="5" width="13" hidden="0" customWidth="1"/>
    <x:col min="6" max="6" width="13" hidden="0" customWidth="1"/>
    <x:col min="7" max="7" width="3" hidden="0" customWidth="1"/>
    <x:col min="8" max="8" width="12" hidden="0" customWidth="1"/>
    <x:col min="9" max="9" width="14" hidden="0" customWidth="1"/>
    <x:col min="10" max="10" width="14" hidden="0" customWidth="1"/>
    <x:col min="11" max="11" width="12" hidden="0" customWidth="1"/>
    <x:col min="12" max="12" width="12" hidden="0" customWidth="1"/>
    <x:col min="13" max="13" width="12" hidden="0" customWidth="1"/>
    <x:col min="14" max="14" width="12" hidden="0" customWidth="1"/>
  </x:cols>
  <x:sheetData>
    <x:row r="1">
      <x:c r="A1" s="11"/>
      <x:c r="B1" s="11"/>
      <x:c r="C1" s="11"/>
      <x:c r="D1" s="11"/>
      <x:c r="E1" s="11"/>
      <x:c r="F1" s="11"/>
      <x:c r="G1" s="11"/>
      <x:c r="H1" s="11"/>
      <x:c r="I1" s="11"/>
      <x:c r="J1" s="11"/>
      <x:c r="K1" s="11"/>
      <x:c r="L1" s="11"/>
      <x:c r="M1" s="11"/>
      <x:c r="N1" s="11"/>
      <x:c r="O1" s="11"/>
      <x:c r="P1" s="11"/>
      <x:c r="Q1" s="11"/>
      <x:c r="R1" s="11"/>
      <x:c r="S1" s="11"/>
      <x:c r="T1" s="11"/>
      <x:c r="U1" s="11"/>
      <x:c r="V1" s="11"/>
      <x:c r="W1" s="11"/>
      <x:c r="X1" s="11"/>
      <x:c r="Y1" s="11"/>
      <x:c r="Z1" s="11"/>
    </x:row>
    <x:row r="2" ht="26" customHeight="1">
      <x:c r="A2" s="3" t="str">
        <x:v>Báo cáo tài chính điều chỉnh CHAMP MẠNH CHAT</x:v>
      </x:c>
      <x:c r="B2" s="3" t="str">
        <x:v>Báo cáo tài chính điều chỉnh CHAMP MẠNH CHAT</x:v>
      </x:c>
      <x:c r="C2" s="3" t="str">
        <x:v>Báo cáo tài chính điều chỉnh CHAMP MẠNH CHAT</x:v>
      </x:c>
      <x:c r="D2" s="3" t="str">
        <x:v>Báo cáo tài chính điều chỉnh CHAMP MẠNH CHAT</x:v>
      </x:c>
      <x:c r="E2" s="3" t="str">
        <x:v>Báo cáo tài chính điều chỉnh CHAMP MẠNH CHAT</x:v>
      </x:c>
      <x:c r="F2" s="3" t="str">
        <x:v>Báo cáo tài chính điều chỉnh CHAMP MẠNH CHAT</x:v>
      </x:c>
      <x:c r="G2" s="3" t="str">
        <x:v>Báo cáo tài chính điều chỉnh CHAMP MẠNH CHAT</x:v>
      </x:c>
      <x:c r="H2" s="3" t="str">
        <x:v>Báo cáo tài chính điều chỉnh CHAMP MẠNH CHAT</x:v>
      </x:c>
      <x:c r="I2" s="3" t="str">
        <x:v>Báo cáo tài chính điều chỉnh CHAMP MẠNH CHAT</x:v>
      </x:c>
      <x:c r="J2" s="3" t="str">
        <x:v>Báo cáo tài chính điều chỉnh CHAMP MẠNH CHAT</x:v>
      </x:c>
      <x:c r="K2" s="3" t="str">
        <x:v>Báo cáo tài chính điều chỉnh CHAMP MẠNH CHAT</x:v>
      </x:c>
      <x:c r="L2" s="3" t="str">
        <x:v>Báo cáo tài chính điều chỉnh CHAMP MẠNH CHAT</x:v>
      </x:c>
      <x:c r="M2" s="3" t="str">
        <x:v>Báo cáo tài chính điều chỉnh CHAMP MẠNH CHAT</x:v>
      </x:c>
      <x:c r="N2" s="3" t="str">
        <x:v>Báo cáo tài chính điều chỉnh CHAMP MẠNH CHAT</x:v>
      </x:c>
      <x:c r="O2" s="11"/>
      <x:c r="P2" s="11"/>
      <x:c r="Q2" s="11"/>
      <x:c r="R2" s="11"/>
      <x:c r="S2" s="11"/>
      <x:c r="T2" s="11"/>
      <x:c r="U2" s="11"/>
      <x:c r="V2" s="11"/>
      <x:c r="W2" s="11"/>
      <x:c r="X2" s="11"/>
      <x:c r="Y2" s="11"/>
      <x:c r="Z2" s="11"/>
    </x:row>
    <x:row r="3">
      <x:c r="A3" s="87"/>
      <x:c r="B3" s="87"/>
      <x:c r="C3" s="87"/>
      <x:c r="D3" s="87"/>
      <x:c r="E3" s="87"/>
      <x:c r="F3" s="87"/>
      <x:c r="G3" s="87"/>
      <x:c r="H3" s="87"/>
      <x:c r="I3" s="87"/>
      <x:c r="J3" s="87"/>
      <x:c r="K3" s="87"/>
      <x:c r="L3" s="87"/>
      <x:c r="M3" s="87"/>
      <x:c r="N3" s="87"/>
      <x:c r="O3" s="11"/>
      <x:c r="P3" s="11"/>
      <x:c r="Q3" s="11"/>
      <x:c r="R3" s="11"/>
      <x:c r="S3" s="11"/>
      <x:c r="T3" s="11"/>
      <x:c r="U3" s="11"/>
      <x:c r="V3" s="11"/>
      <x:c r="W3" s="11"/>
      <x:c r="X3" s="11"/>
      <x:c r="Y3" s="11"/>
      <x:c r="Z3" s="11"/>
    </x:row>
    <x:row r="4">
      <x:c r="A4" s="10" t="str">
        <x:v>Chỉ tiêu</x:v>
      </x:c>
      <x:c r="B4" s="10" t="str">
        <x:v>Kết quả</x:v>
      </x:c>
      <x:c r="C4" s="11"/>
      <x:c r="D4" s="11"/>
      <x:c r="E4" s="11"/>
      <x:c r="F4" s="11"/>
      <x:c r="G4" s="11"/>
      <x:c r="H4" s="11"/>
      <x:c r="I4" s="11"/>
      <x:c r="J4" s="11"/>
      <x:c r="K4" s="11"/>
      <x:c r="L4" s="11"/>
      <x:c r="M4" s="11"/>
      <x:c r="N4" s="11"/>
      <x:c r="O4" s="11"/>
      <x:c r="P4" s="11"/>
      <x:c r="Q4" s="11"/>
      <x:c r="R4" s="11"/>
      <x:c r="S4" s="11"/>
      <x:c r="T4" s="11"/>
      <x:c r="U4" s="11"/>
      <x:c r="V4" s="11"/>
      <x:c r="W4" s="11"/>
      <x:c r="X4" s="11"/>
      <x:c r="Y4" s="11"/>
      <x:c r="Z4" s="11"/>
    </x:row>
    <x:row r="5">
      <x:c r="A5" s="29" t="str">
        <x:v>Tổng vốn cần huy động</x:v>
      </x:c>
      <x:c r="B5" s="78" t="n">
        <x:f>'Nguồn vốn'!G8</x:f>
        <x:v>1800</x:v>
      </x:c>
      <x:c r="C5" s="11"/>
      <x:c r="D5" s="11"/>
      <x:c r="E5" s="11"/>
      <x:c r="F5" s="11"/>
      <x:c r="G5" s="11"/>
      <x:c r="H5" s="11"/>
      <x:c r="I5" s="11"/>
      <x:c r="J5" s="11"/>
      <x:c r="K5" s="11"/>
      <x:c r="L5" s="11"/>
      <x:c r="M5" s="11"/>
      <x:c r="N5" s="11"/>
      <x:c r="O5" s="11"/>
      <x:c r="P5" s="11"/>
      <x:c r="Q5" s="11"/>
      <x:c r="R5" s="11"/>
      <x:c r="S5" s="11"/>
      <x:c r="T5" s="11"/>
      <x:c r="U5" s="11"/>
      <x:c r="V5" s="11"/>
      <x:c r="W5" s="11"/>
      <x:c r="X5" s="11"/>
      <x:c r="Y5" s="11"/>
      <x:c r="Z5" s="11"/>
    </x:row>
    <x:row r="6">
      <x:c r="A6" s="30" t="str">
        <x:v>Nợ ngân hàng 24 tháng đầu</x:v>
      </x:c>
      <x:c r="B6" s="47" t="n">
        <x:f>SUM('Mô hình 5 năm'!B30:C30)</x:f>
        <x:v>0</x:v>
      </x:c>
      <x:c r="C6" s="11"/>
      <x:c r="D6" s="11"/>
      <x:c r="E6" s="11"/>
      <x:c r="F6" s="11"/>
      <x:c r="G6" s="11"/>
      <x:c r="H6" s="11"/>
      <x:c r="I6" s="11"/>
      <x:c r="J6" s="11"/>
      <x:c r="K6" s="11"/>
      <x:c r="L6" s="11"/>
      <x:c r="M6" s="11"/>
      <x:c r="N6" s="11"/>
      <x:c r="O6" s="11"/>
      <x:c r="P6" s="11"/>
      <x:c r="Q6" s="11"/>
      <x:c r="R6" s="11"/>
      <x:c r="S6" s="11"/>
      <x:c r="T6" s="11"/>
      <x:c r="U6" s="11"/>
      <x:c r="V6" s="11"/>
      <x:c r="W6" s="11"/>
      <x:c r="X6" s="11"/>
      <x:c r="Y6" s="11"/>
      <x:c r="Z6" s="11"/>
    </x:row>
    <x:row r="7">
      <x:c r="A7" s="30" t="str">
        <x:v>Giảm nhu cầu vốn so với mô hình cũ</x:v>
      </x:c>
      <x:c r="B7" s="50" t="n">
        <x:f>1-B5/3154</x:f>
        <x:v>0.429296131896005</x:v>
      </x:c>
      <x:c r="C7" s="11"/>
      <x:c r="D7" s="11"/>
      <x:c r="E7" s="11"/>
      <x:c r="F7" s="11"/>
      <x:c r="G7" s="11"/>
      <x:c r="H7" s="11"/>
      <x:c r="I7" s="11"/>
      <x:c r="J7" s="11"/>
      <x:c r="K7" s="11"/>
      <x:c r="L7" s="11"/>
      <x:c r="M7" s="11"/>
      <x:c r="N7" s="11"/>
      <x:c r="O7" s="11"/>
      <x:c r="P7" s="11"/>
      <x:c r="Q7" s="11"/>
      <x:c r="R7" s="11"/>
      <x:c r="S7" s="11"/>
      <x:c r="T7" s="11"/>
      <x:c r="U7" s="11"/>
      <x:c r="V7" s="11"/>
      <x:c r="W7" s="11"/>
      <x:c r="X7" s="11"/>
      <x:c r="Y7" s="11"/>
      <x:c r="Z7" s="11"/>
    </x:row>
    <x:row r="8">
      <x:c r="A8" s="30" t="str">
        <x:v>Điểm hòa vốn EBITDA</x:v>
      </x:c>
      <x:c r="B8" s="30" t="str">
        <x:v>Năm 3</x:v>
      </x:c>
      <x:c r="C8" s="11"/>
      <x:c r="D8" s="11"/>
      <x:c r="E8" s="11"/>
      <x:c r="F8" s="11"/>
      <x:c r="G8" s="11"/>
      <x:c r="H8" s="11"/>
      <x:c r="I8" s="11"/>
      <x:c r="J8" s="11"/>
      <x:c r="K8" s="11"/>
      <x:c r="L8" s="11"/>
      <x:c r="M8" s="11"/>
      <x:c r="N8" s="11"/>
      <x:c r="O8" s="11"/>
      <x:c r="P8" s="11"/>
      <x:c r="Q8" s="11"/>
      <x:c r="R8" s="11"/>
      <x:c r="S8" s="11"/>
      <x:c r="T8" s="11"/>
      <x:c r="U8" s="11"/>
      <x:c r="V8" s="11"/>
      <x:c r="W8" s="11"/>
      <x:c r="X8" s="11"/>
      <x:c r="Y8" s="11"/>
      <x:c r="Z8" s="11"/>
    </x:row>
    <x:row r="9">
      <x:c r="A9" s="30" t="str">
        <x:v>Tiền cuối Năm 2</x:v>
      </x:c>
      <x:c r="B9" s="47" t="n">
        <x:f>'Mô hình 5 năm'!C29</x:f>
        <x:v>123</x:v>
      </x:c>
      <x:c r="C9" s="11"/>
      <x:c r="D9" s="11"/>
      <x:c r="E9" s="11"/>
      <x:c r="F9" s="11"/>
      <x:c r="G9" s="11"/>
      <x:c r="H9" s="11"/>
      <x:c r="I9" s="11"/>
      <x:c r="J9" s="11"/>
      <x:c r="K9" s="11"/>
      <x:c r="L9" s="11"/>
      <x:c r="M9" s="11"/>
      <x:c r="N9" s="11"/>
      <x:c r="O9" s="11"/>
      <x:c r="P9" s="11"/>
      <x:c r="Q9" s="11"/>
      <x:c r="R9" s="11"/>
      <x:c r="S9" s="11"/>
      <x:c r="T9" s="11"/>
      <x:c r="U9" s="11"/>
      <x:c r="V9" s="11"/>
      <x:c r="W9" s="11"/>
      <x:c r="X9" s="11"/>
      <x:c r="Y9" s="11"/>
      <x:c r="Z9" s="11"/>
    </x:row>
    <x:row r="10">
      <x:c r="A10" s="30" t="str">
        <x:v>Doanh thu Năm 5</x:v>
      </x:c>
      <x:c r="B10" s="47" t="n">
        <x:f>'Mô hình 5 năm'!F12</x:f>
        <x:v>9500</x:v>
      </x:c>
      <x:c r="C10" s="11"/>
      <x:c r="D10" s="11"/>
      <x:c r="E10" s="11"/>
      <x:c r="F10" s="11"/>
      <x:c r="G10" s="11"/>
      <x:c r="H10" s="11"/>
      <x:c r="I10" s="11"/>
      <x:c r="J10" s="11"/>
      <x:c r="K10" s="11"/>
      <x:c r="L10" s="11"/>
      <x:c r="M10" s="11"/>
      <x:c r="N10" s="11"/>
      <x:c r="O10" s="11"/>
      <x:c r="P10" s="11"/>
      <x:c r="Q10" s="11"/>
      <x:c r="R10" s="11"/>
      <x:c r="S10" s="11"/>
      <x:c r="T10" s="11"/>
      <x:c r="U10" s="11"/>
      <x:c r="V10" s="11"/>
      <x:c r="W10" s="11"/>
      <x:c r="X10" s="11"/>
      <x:c r="Y10" s="11"/>
      <x:c r="Z10" s="11"/>
    </x:row>
    <x:row r="11">
      <x:c r="A11" s="30" t="str">
        <x:v>EBITDA Năm 5</x:v>
      </x:c>
      <x:c r="B11" s="47" t="n">
        <x:f>'Mô hình 5 năm'!F19</x:f>
        <x:v>4250</x:v>
      </x:c>
      <x:c r="C11" s="11"/>
      <x:c r="D11" s="11"/>
      <x:c r="E11" s="11"/>
      <x:c r="F11" s="11"/>
      <x:c r="G11" s="11"/>
      <x:c r="H11" s="11"/>
      <x:c r="I11" s="11"/>
      <x:c r="J11" s="11"/>
      <x:c r="K11" s="11"/>
      <x:c r="L11" s="11"/>
      <x:c r="M11" s="11"/>
      <x:c r="N11" s="11"/>
      <x:c r="O11" s="11"/>
      <x:c r="P11" s="11"/>
      <x:c r="Q11" s="11"/>
      <x:c r="R11" s="11"/>
      <x:c r="S11" s="11"/>
      <x:c r="T11" s="11"/>
      <x:c r="U11" s="11"/>
      <x:c r="V11" s="11"/>
      <x:c r="W11" s="11"/>
      <x:c r="X11" s="11"/>
      <x:c r="Y11" s="11"/>
      <x:c r="Z11" s="11"/>
    </x:row>
    <x:row r="12">
      <x:c r="A12" s="11"/>
      <x:c r="B12" s="11"/>
      <x:c r="C12" s="11"/>
      <x:c r="D12" s="11"/>
      <x:c r="E12" s="11"/>
      <x:c r="F12" s="11"/>
      <x:c r="G12" s="11"/>
      <x:c r="H12" s="11"/>
      <x:c r="I12" s="11"/>
      <x:c r="J12" s="11"/>
      <x:c r="K12" s="11"/>
      <x:c r="L12" s="11"/>
      <x:c r="M12" s="11"/>
      <x:c r="N12" s="11"/>
      <x:c r="O12" s="11"/>
      <x:c r="P12" s="11"/>
      <x:c r="Q12" s="11"/>
      <x:c r="R12" s="11"/>
      <x:c r="S12" s="11"/>
      <x:c r="T12" s="11"/>
      <x:c r="U12" s="11"/>
      <x:c r="V12" s="11"/>
      <x:c r="W12" s="11"/>
      <x:c r="X12" s="11"/>
      <x:c r="Y12" s="11"/>
      <x:c r="Z12" s="11"/>
    </x:row>
    <x:row r="13">
      <x:c r="A13" s="10" t="str">
        <x:v>Chỉ tiêu</x:v>
      </x:c>
      <x:c r="B13" s="10" t="str">
        <x:v>Năm 1</x:v>
      </x:c>
      <x:c r="C13" s="10" t="str">
        <x:v>Năm 2</x:v>
      </x:c>
      <x:c r="D13" s="10" t="str">
        <x:v>Năm 3</x:v>
      </x:c>
      <x:c r="E13" s="10" t="str">
        <x:v>Năm 4</x:v>
      </x:c>
      <x:c r="F13" s="10" t="str">
        <x:v>Năm 5</x:v>
      </x:c>
      <x:c r="G13" s="11"/>
      <x:c r="H13" s="11"/>
      <x:c r="I13" s="11"/>
      <x:c r="J13" s="11"/>
      <x:c r="K13" s="11"/>
      <x:c r="L13" s="11"/>
      <x:c r="M13" s="11"/>
      <x:c r="N13" s="11"/>
      <x:c r="O13" s="11"/>
      <x:c r="P13" s="11"/>
      <x:c r="Q13" s="11"/>
      <x:c r="R13" s="11"/>
      <x:c r="S13" s="11"/>
      <x:c r="T13" s="11"/>
      <x:c r="U13" s="11"/>
      <x:c r="V13" s="11"/>
      <x:c r="W13" s="11"/>
      <x:c r="X13" s="11"/>
      <x:c r="Y13" s="11"/>
      <x:c r="Z13" s="11"/>
    </x:row>
    <x:row r="14">
      <x:c r="A14" s="29" t="str">
        <x:v>Doanh thu</x:v>
      </x:c>
      <x:c r="B14" s="78" t="n">
        <x:f>'Mô hình 5 năm'!B12</x:f>
        <x:v>232</x:v>
      </x:c>
      <x:c r="C14" s="78" t="n">
        <x:f>'Mô hình 5 năm'!C12</x:f>
        <x:v>1200</x:v>
      </x:c>
      <x:c r="D14" s="78" t="n">
        <x:f>'Mô hình 5 năm'!D12</x:f>
        <x:v>2800</x:v>
      </x:c>
      <x:c r="E14" s="78" t="n">
        <x:f>'Mô hình 5 năm'!E12</x:f>
        <x:v>5600</x:v>
      </x:c>
      <x:c r="F14" s="78" t="n">
        <x:f>'Mô hình 5 năm'!F12</x:f>
        <x:v>9500</x:v>
      </x:c>
      <x:c r="G14" s="11"/>
      <x:c r="H14" s="11"/>
      <x:c r="I14" s="11"/>
      <x:c r="J14" s="11"/>
      <x:c r="K14" s="11"/>
      <x:c r="L14" s="11"/>
      <x:c r="M14" s="11"/>
      <x:c r="N14" s="11"/>
      <x:c r="O14" s="11"/>
      <x:c r="P14" s="11"/>
      <x:c r="Q14" s="11"/>
      <x:c r="R14" s="11"/>
      <x:c r="S14" s="11"/>
      <x:c r="T14" s="11"/>
      <x:c r="U14" s="11"/>
      <x:c r="V14" s="11"/>
      <x:c r="W14" s="11"/>
      <x:c r="X14" s="11"/>
      <x:c r="Y14" s="11"/>
      <x:c r="Z14" s="11"/>
    </x:row>
    <x:row r="15">
      <x:c r="A15" s="30" t="str">
        <x:v>Chi phí vận hành</x:v>
      </x:c>
      <x:c r="B15" s="47" t="n">
        <x:f>'Mô hình 5 năm'!B18</x:f>
        <x:v>1119</x:v>
      </x:c>
      <x:c r="C15" s="47" t="n">
        <x:f>'Mô hình 5 năm'!C18</x:f>
        <x:v>1500</x:v>
      </x:c>
      <x:c r="D15" s="47" t="n">
        <x:f>'Mô hình 5 năm'!D18</x:f>
        <x:v>2250</x:v>
      </x:c>
      <x:c r="E15" s="47" t="n">
        <x:f>'Mô hình 5 năm'!E18</x:f>
        <x:v>3450</x:v>
      </x:c>
      <x:c r="F15" s="47" t="n">
        <x:f>'Mô hình 5 năm'!F18</x:f>
        <x:v>5250</x:v>
      </x:c>
      <x:c r="G15" s="11"/>
      <x:c r="H15" s="11"/>
      <x:c r="I15" s="11"/>
      <x:c r="J15" s="11"/>
      <x:c r="K15" s="11"/>
      <x:c r="L15" s="11"/>
      <x:c r="M15" s="11"/>
      <x:c r="N15" s="11"/>
      <x:c r="O15" s="11"/>
      <x:c r="P15" s="11"/>
      <x:c r="Q15" s="11"/>
      <x:c r="R15" s="11"/>
      <x:c r="S15" s="11"/>
      <x:c r="T15" s="11"/>
      <x:c r="U15" s="11"/>
      <x:c r="V15" s="11"/>
      <x:c r="W15" s="11"/>
      <x:c r="X15" s="11"/>
      <x:c r="Y15" s="11"/>
      <x:c r="Z15" s="11"/>
    </x:row>
    <x:row r="16">
      <x:c r="A16" s="30" t="str">
        <x:v>EBITDA</x:v>
      </x:c>
      <x:c r="B16" s="47" t="n">
        <x:f>'Mô hình 5 năm'!B19</x:f>
        <x:v>-887</x:v>
      </x:c>
      <x:c r="C16" s="47" t="n">
        <x:f>'Mô hình 5 năm'!C19</x:f>
        <x:v>-300</x:v>
      </x:c>
      <x:c r="D16" s="47" t="n">
        <x:f>'Mô hình 5 năm'!D19</x:f>
        <x:v>550</x:v>
      </x:c>
      <x:c r="E16" s="47" t="n">
        <x:f>'Mô hình 5 năm'!E19</x:f>
        <x:v>2150</x:v>
      </x:c>
      <x:c r="F16" s="47" t="n">
        <x:f>'Mô hình 5 năm'!F19</x:f>
        <x:v>4250</x:v>
      </x:c>
      <x:c r="G16" s="11"/>
      <x:c r="H16" s="11"/>
      <x:c r="I16" s="11"/>
      <x:c r="J16" s="11"/>
      <x:c r="K16" s="11"/>
      <x:c r="L16" s="11"/>
      <x:c r="M16" s="11"/>
      <x:c r="N16" s="11"/>
      <x:c r="O16" s="11"/>
      <x:c r="P16" s="11"/>
      <x:c r="Q16" s="11"/>
      <x:c r="R16" s="11"/>
      <x:c r="S16" s="11"/>
      <x:c r="T16" s="11"/>
      <x:c r="U16" s="11"/>
      <x:c r="V16" s="11"/>
      <x:c r="W16" s="11"/>
      <x:c r="X16" s="11"/>
      <x:c r="Y16" s="11"/>
      <x:c r="Z16" s="11"/>
    </x:row>
    <x:row r="17">
      <x:c r="A17" s="30" t="str">
        <x:v>Lợi nhuận ròng</x:v>
      </x:c>
      <x:c r="B17" s="47" t="n">
        <x:f>'Mô hình 5 năm'!B24</x:f>
        <x:v>-955</x:v>
      </x:c>
      <x:c r="C17" s="47" t="n">
        <x:f>'Mô hình 5 năm'!C24</x:f>
        <x:v>-398</x:v>
      </x:c>
      <x:c r="D17" s="47" t="n">
        <x:f>'Mô hình 5 năm'!D24</x:f>
        <x:v>332.8</x:v>
      </x:c>
      <x:c r="E17" s="47" t="n">
        <x:f>'Mô hình 5 năm'!E24</x:f>
        <x:v>1572.8</x:v>
      </x:c>
      <x:c r="F17" s="47" t="n">
        <x:f>'Mô hình 5 năm'!F24</x:f>
        <x:v>3196.8</x:v>
      </x:c>
      <x:c r="G17" s="11"/>
      <x:c r="H17" s="11"/>
      <x:c r="I17" s="11"/>
      <x:c r="J17" s="11"/>
      <x:c r="K17" s="11"/>
      <x:c r="L17" s="11"/>
      <x:c r="M17" s="11"/>
      <x:c r="N17" s="11"/>
      <x:c r="O17" s="11"/>
      <x:c r="P17" s="11"/>
      <x:c r="Q17" s="11"/>
      <x:c r="R17" s="11"/>
      <x:c r="S17" s="11"/>
      <x:c r="T17" s="11"/>
      <x:c r="U17" s="11"/>
      <x:c r="V17" s="11"/>
      <x:c r="W17" s="11"/>
      <x:c r="X17" s="11"/>
      <x:c r="Y17" s="11"/>
      <x:c r="Z17" s="11"/>
    </x:row>
    <x:row r="18">
      <x:c r="A18" s="30" t="str">
        <x:v>Tiền cuối kỳ</x:v>
      </x:c>
      <x:c r="B18" s="47" t="n">
        <x:f>'Mô hình 5 năm'!B29</x:f>
        <x:v>73</x:v>
      </x:c>
      <x:c r="C18" s="47" t="n">
        <x:f>'Mô hình 5 năm'!C29</x:f>
        <x:v>123</x:v>
      </x:c>
      <x:c r="D18" s="47" t="n">
        <x:f>'Mô hình 5 năm'!D29</x:f>
        <x:v>409.8</x:v>
      </x:c>
      <x:c r="E18" s="47" t="n">
        <x:f>'Mô hình 5 năm'!E29</x:f>
        <x:v>1916.6</x:v>
      </x:c>
      <x:c r="F18" s="47" t="n">
        <x:f>'Mô hình 5 năm'!F29</x:f>
        <x:v>5017.4</x:v>
      </x:c>
      <x:c r="G18" s="11"/>
      <x:c r="H18" s="11"/>
      <x:c r="I18" s="11"/>
      <x:c r="J18" s="11"/>
      <x:c r="K18" s="11"/>
      <x:c r="L18" s="11"/>
      <x:c r="M18" s="11"/>
      <x:c r="N18" s="11"/>
      <x:c r="O18" s="11"/>
      <x:c r="P18" s="11"/>
      <x:c r="Q18" s="11"/>
      <x:c r="R18" s="11"/>
      <x:c r="S18" s="11"/>
      <x:c r="T18" s="11"/>
      <x:c r="U18" s="11"/>
      <x:c r="V18" s="11"/>
      <x:c r="W18" s="11"/>
      <x:c r="X18" s="11"/>
      <x:c r="Y18" s="11"/>
      <x:c r="Z18" s="11"/>
    </x:row>
    <x:row r="19">
      <x:c r="A19" s="30" t="str">
        <x:v>DN trả phí bình quân</x:v>
      </x:c>
      <x:c r="B19" s="79" t="n">
        <x:f>'Mô hình 5 năm'!B5</x:f>
        <x:v>1.5</x:v>
      </x:c>
      <x:c r="C19" s="79" t="n">
        <x:f>'Mô hình 5 năm'!C5</x:f>
        <x:v>8</x:v>
      </x:c>
      <x:c r="D19" s="79" t="n">
        <x:f>'Mô hình 5 năm'!D5</x:f>
        <x:v>18</x:v>
      </x:c>
      <x:c r="E19" s="79" t="n">
        <x:f>'Mô hình 5 năm'!E5</x:f>
        <x:v>35</x:v>
      </x:c>
      <x:c r="F19" s="79" t="n">
        <x:f>'Mô hình 5 năm'!F5</x:f>
        <x:v>60</x:v>
      </x:c>
      <x:c r="G19" s="11"/>
      <x:c r="H19" s="11"/>
      <x:c r="I19" s="11"/>
      <x:c r="J19" s="11"/>
      <x:c r="K19" s="11"/>
      <x:c r="L19" s="11"/>
      <x:c r="M19" s="11"/>
      <x:c r="N19" s="11"/>
      <x:c r="O19" s="11"/>
      <x:c r="P19" s="11"/>
      <x:c r="Q19" s="11"/>
      <x:c r="R19" s="11"/>
      <x:c r="S19" s="11"/>
      <x:c r="T19" s="11"/>
      <x:c r="U19" s="11"/>
      <x:c r="V19" s="11"/>
      <x:c r="W19" s="11"/>
      <x:c r="X19" s="11"/>
      <x:c r="Y19" s="11"/>
      <x:c r="Z19" s="11"/>
    </x:row>
    <x:row r="20">
      <x:c r="A20" s="11"/>
      <x:c r="B20" s="11"/>
      <x:c r="C20" s="11"/>
      <x:c r="D20" s="11"/>
      <x:c r="E20" s="11"/>
      <x:c r="F20" s="11"/>
      <x:c r="G20" s="11"/>
      <x:c r="H20" s="11" t="str">
        <x:v>Năm</x:v>
      </x:c>
      <x:c r="I20" s="11" t="str">
        <x:v>Doanh thu</x:v>
      </x:c>
      <x:c r="J20" s="11" t="str">
        <x:v>EBITDA</x:v>
      </x:c>
      <x:c r="K20" s="11"/>
      <x:c r="L20" s="11"/>
      <x:c r="M20" s="11"/>
      <x:c r="N20" s="11"/>
      <x:c r="O20" s="11"/>
      <x:c r="P20" s="11"/>
      <x:c r="Q20" s="11"/>
      <x:c r="R20" s="11"/>
      <x:c r="S20" s="11"/>
      <x:c r="T20" s="11"/>
      <x:c r="U20" s="11"/>
      <x:c r="V20" s="11"/>
      <x:c r="W20" s="11"/>
      <x:c r="X20" s="11"/>
      <x:c r="Y20" s="11"/>
      <x:c r="Z20" s="11"/>
    </x:row>
    <x:row r="21">
      <x:c r="A21" s="11"/>
      <x:c r="B21" s="11"/>
      <x:c r="C21" s="11"/>
      <x:c r="D21" s="11"/>
      <x:c r="E21" s="11"/>
      <x:c r="F21" s="11"/>
      <x:c r="G21" s="11"/>
      <x:c r="H21" s="11" t="str">
        <x:v>Năm 1</x:v>
      </x:c>
      <x:c r="I21" s="88" t="n">
        <x:f>'Mô hình 5 năm'!B12</x:f>
        <x:v>232</x:v>
      </x:c>
      <x:c r="J21" s="88" t="n">
        <x:f>'Mô hình 5 năm'!B19</x:f>
        <x:v>-887</x:v>
      </x:c>
      <x:c r="K21" s="11"/>
      <x:c r="L21" s="11"/>
      <x:c r="M21" s="11"/>
      <x:c r="N21" s="11"/>
      <x:c r="O21" s="11"/>
      <x:c r="P21" s="11"/>
      <x:c r="Q21" s="11"/>
      <x:c r="R21" s="11"/>
      <x:c r="S21" s="11"/>
      <x:c r="T21" s="11"/>
      <x:c r="U21" s="11"/>
      <x:c r="V21" s="11"/>
      <x:c r="W21" s="11"/>
      <x:c r="X21" s="11"/>
      <x:c r="Y21" s="11"/>
      <x:c r="Z21" s="11"/>
    </x:row>
    <x:row r="22">
      <x:c r="A22" s="11"/>
      <x:c r="B22" s="11"/>
      <x:c r="C22" s="11"/>
      <x:c r="D22" s="11"/>
      <x:c r="E22" s="11"/>
      <x:c r="F22" s="11"/>
      <x:c r="G22" s="11"/>
      <x:c r="H22" s="11" t="str">
        <x:v>Năm 2</x:v>
      </x:c>
      <x:c r="I22" s="88" t="n">
        <x:f>'Mô hình 5 năm'!C12</x:f>
        <x:v>1200</x:v>
      </x:c>
      <x:c r="J22" s="88" t="n">
        <x:f>'Mô hình 5 năm'!C19</x:f>
        <x:v>-300</x:v>
      </x:c>
      <x:c r="K22" s="11"/>
      <x:c r="L22" s="11"/>
      <x:c r="M22" s="11"/>
      <x:c r="N22" s="11"/>
      <x:c r="O22" s="11"/>
      <x:c r="P22" s="11"/>
      <x:c r="Q22" s="11"/>
      <x:c r="R22" s="11"/>
      <x:c r="S22" s="11"/>
      <x:c r="T22" s="11"/>
      <x:c r="U22" s="11"/>
      <x:c r="V22" s="11"/>
      <x:c r="W22" s="11"/>
      <x:c r="X22" s="11"/>
      <x:c r="Y22" s="11"/>
      <x:c r="Z22" s="11"/>
    </x:row>
    <x:row r="23">
      <x:c r="A23" s="11"/>
      <x:c r="B23" s="11"/>
      <x:c r="C23" s="11"/>
      <x:c r="D23" s="11"/>
      <x:c r="E23" s="11"/>
      <x:c r="F23" s="11"/>
      <x:c r="G23" s="11"/>
      <x:c r="H23" s="11" t="str">
        <x:v>Năm 3</x:v>
      </x:c>
      <x:c r="I23" s="88" t="n">
        <x:f>'Mô hình 5 năm'!D12</x:f>
        <x:v>2800</x:v>
      </x:c>
      <x:c r="J23" s="88" t="n">
        <x:f>'Mô hình 5 năm'!D19</x:f>
        <x:v>550</x:v>
      </x:c>
      <x:c r="K23" s="11"/>
      <x:c r="L23" s="11"/>
      <x:c r="M23" s="11"/>
      <x:c r="N23" s="11"/>
      <x:c r="O23" s="11"/>
      <x:c r="P23" s="11"/>
      <x:c r="Q23" s="11"/>
      <x:c r="R23" s="11"/>
      <x:c r="S23" s="11"/>
      <x:c r="T23" s="11"/>
      <x:c r="U23" s="11"/>
      <x:c r="V23" s="11"/>
      <x:c r="W23" s="11"/>
      <x:c r="X23" s="11"/>
      <x:c r="Y23" s="11"/>
      <x:c r="Z23" s="11"/>
    </x:row>
    <x:row r="24">
      <x:c r="A24" s="11"/>
      <x:c r="B24" s="11"/>
      <x:c r="C24" s="11"/>
      <x:c r="D24" s="11"/>
      <x:c r="E24" s="11"/>
      <x:c r="F24" s="11"/>
      <x:c r="G24" s="11"/>
      <x:c r="H24" s="11" t="str">
        <x:v>Năm 4</x:v>
      </x:c>
      <x:c r="I24" s="88" t="n">
        <x:f>'Mô hình 5 năm'!E12</x:f>
        <x:v>5600</x:v>
      </x:c>
      <x:c r="J24" s="88" t="n">
        <x:f>'Mô hình 5 năm'!E19</x:f>
        <x:v>2150</x:v>
      </x:c>
      <x:c r="K24" s="11"/>
      <x:c r="L24" s="11"/>
      <x:c r="M24" s="11"/>
      <x:c r="N24" s="11"/>
      <x:c r="O24" s="11"/>
      <x:c r="P24" s="11"/>
      <x:c r="Q24" s="11"/>
      <x:c r="R24" s="11"/>
      <x:c r="S24" s="11"/>
      <x:c r="T24" s="11"/>
      <x:c r="U24" s="11"/>
      <x:c r="V24" s="11"/>
      <x:c r="W24" s="11"/>
      <x:c r="X24" s="11"/>
      <x:c r="Y24" s="11"/>
      <x:c r="Z24" s="11"/>
    </x:row>
    <x:row r="25">
      <x:c r="A25" s="11"/>
      <x:c r="B25" s="11"/>
      <x:c r="C25" s="11"/>
      <x:c r="D25" s="11"/>
      <x:c r="E25" s="11"/>
      <x:c r="F25" s="11"/>
      <x:c r="G25" s="11"/>
      <x:c r="H25" s="11" t="str">
        <x:v>Năm 5</x:v>
      </x:c>
      <x:c r="I25" s="88" t="n">
        <x:f>'Mô hình 5 năm'!F12</x:f>
        <x:v>9500</x:v>
      </x:c>
      <x:c r="J25" s="88" t="n">
        <x:f>'Mô hình 5 năm'!F19</x:f>
        <x:v>4250</x:v>
      </x:c>
      <x:c r="K25" s="11"/>
      <x:c r="L25" s="11"/>
      <x:c r="M25" s="11"/>
      <x:c r="N25" s="11"/>
      <x:c r="O25" s="11"/>
      <x:c r="P25" s="11"/>
      <x:c r="Q25" s="11"/>
      <x:c r="R25" s="11"/>
      <x:c r="S25" s="11"/>
      <x:c r="T25" s="11"/>
      <x:c r="U25" s="11"/>
      <x:c r="V25" s="11"/>
      <x:c r="W25" s="11"/>
      <x:c r="X25" s="11"/>
      <x:c r="Y25" s="11"/>
      <x:c r="Z25" s="11"/>
    </x:row>
    <x:row r="26">
      <x:c r="A26" s="11"/>
      <x:c r="B26" s="11"/>
      <x:c r="C26" s="11"/>
      <x:c r="D26" s="11"/>
      <x:c r="E26" s="11"/>
      <x:c r="F26" s="11"/>
      <x:c r="G26" s="11"/>
      <x:c r="H26" s="11"/>
      <x:c r="I26" s="11"/>
      <x:c r="J26" s="11"/>
      <x:c r="K26" s="11"/>
      <x:c r="L26" s="11"/>
      <x:c r="M26" s="11"/>
      <x:c r="N26" s="11"/>
      <x:c r="O26" s="11"/>
      <x:c r="P26" s="11"/>
      <x:c r="Q26" s="11"/>
      <x:c r="R26" s="11"/>
      <x:c r="S26" s="11"/>
      <x:c r="T26" s="11"/>
      <x:c r="U26" s="11"/>
      <x:c r="V26" s="11"/>
      <x:c r="W26" s="11"/>
      <x:c r="X26" s="11"/>
      <x:c r="Y26" s="11"/>
      <x:c r="Z26" s="11"/>
    </x:row>
    <x:row r="27">
      <x:c r="A27" s="11"/>
      <x:c r="B27" s="11"/>
      <x:c r="C27" s="11"/>
      <x:c r="D27" s="11"/>
      <x:c r="E27" s="11"/>
      <x:c r="F27" s="11"/>
      <x:c r="G27" s="11"/>
      <x:c r="H27" s="11"/>
      <x:c r="I27" s="11"/>
      <x:c r="J27" s="11"/>
      <x:c r="K27" s="11"/>
      <x:c r="L27" s="11"/>
      <x:c r="M27" s="11"/>
      <x:c r="N27" s="11"/>
      <x:c r="O27" s="11"/>
      <x:c r="P27" s="11"/>
      <x:c r="Q27" s="11"/>
      <x:c r="R27" s="11"/>
      <x:c r="S27" s="11"/>
      <x:c r="T27" s="11"/>
      <x:c r="U27" s="11"/>
      <x:c r="V27" s="11"/>
      <x:c r="W27" s="11"/>
      <x:c r="X27" s="11"/>
      <x:c r="Y27" s="11"/>
      <x:c r="Z27" s="11"/>
    </x:row>
    <x:row r="28" ht="22" customHeight="1">
      <x:c r="A28" s="25" t="str">
        <x:v>Quyết định tài chính</x:v>
      </x:c>
      <x:c r="B28" s="26" t="str">
        <x:v>Quyết định tài chính</x:v>
      </x:c>
      <x:c r="C28" s="26" t="str">
        <x:v>Quyết định tài chính</x:v>
      </x:c>
      <x:c r="D28" s="26" t="str">
        <x:v>Quyết định tài chính</x:v>
      </x:c>
      <x:c r="E28" s="26" t="str">
        <x:v>Quyết định tài chính</x:v>
      </x:c>
      <x:c r="F28" s="26" t="str">
        <x:v>Quyết định tài chính</x:v>
      </x:c>
      <x:c r="G28" s="26" t="str">
        <x:v>Quyết định tài chính</x:v>
      </x:c>
      <x:c r="H28" s="26" t="str">
        <x:v>Quyết định tài chính</x:v>
      </x:c>
      <x:c r="I28" s="26" t="str">
        <x:v>Quyết định tài chính</x:v>
      </x:c>
      <x:c r="J28" s="26" t="str">
        <x:v>Quyết định tài chính</x:v>
      </x:c>
      <x:c r="K28" s="26" t="str">
        <x:v>Quyết định tài chính</x:v>
      </x:c>
      <x:c r="L28" s="26" t="str">
        <x:v>Quyết định tài chính</x:v>
      </x:c>
      <x:c r="M28" s="26" t="str">
        <x:v>Quyết định tài chính</x:v>
      </x:c>
      <x:c r="N28" s="27" t="str">
        <x:v>Quyết định tài chính</x:v>
      </x:c>
      <x:c r="O28" s="11"/>
      <x:c r="P28" s="11"/>
      <x:c r="Q28" s="11"/>
      <x:c r="R28" s="11"/>
      <x:c r="S28" s="11"/>
      <x:c r="T28" s="11"/>
      <x:c r="U28" s="11"/>
      <x:c r="V28" s="11"/>
      <x:c r="W28" s="11"/>
      <x:c r="X28" s="11"/>
      <x:c r="Y28" s="11"/>
      <x:c r="Z28" s="11"/>
    </x:row>
    <x:row r="29">
      <x:c r="A29"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B29"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C29"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D29"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E29"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F29"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G29"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H29"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I29"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J29"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K29"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L29"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M29"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N29"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O29" s="11"/>
      <x:c r="P29" s="11"/>
      <x:c r="Q29" s="11"/>
      <x:c r="R29" s="11"/>
      <x:c r="S29" s="11"/>
      <x:c r="T29" s="11"/>
      <x:c r="U29" s="11"/>
      <x:c r="V29" s="11"/>
      <x:c r="W29" s="11"/>
      <x:c r="X29" s="11"/>
      <x:c r="Y29" s="11"/>
      <x:c r="Z29" s="11"/>
    </x:row>
    <x:row r="30">
      <x:c r="A30"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B30"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C30"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D30"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E30"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F30"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G30"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H30"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I30"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J30"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K30"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L30"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M30"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N30"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O30" s="11"/>
      <x:c r="P30" s="11"/>
      <x:c r="Q30" s="11"/>
      <x:c r="R30" s="11"/>
      <x:c r="S30" s="11"/>
      <x:c r="T30" s="11"/>
      <x:c r="U30" s="11"/>
      <x:c r="V30" s="11"/>
      <x:c r="W30" s="11"/>
      <x:c r="X30" s="11"/>
      <x:c r="Y30" s="11"/>
      <x:c r="Z30" s="11"/>
    </x:row>
    <x:row r="31">
      <x:c r="A31"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B31"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C31"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D31"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E31"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F31"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G31"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H31"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I31"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J31"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K31"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L31"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M31"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N31"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O31" s="11"/>
      <x:c r="P31" s="11"/>
      <x:c r="Q31" s="11"/>
      <x:c r="R31" s="11"/>
      <x:c r="S31" s="11"/>
      <x:c r="T31" s="11"/>
      <x:c r="U31" s="11"/>
      <x:c r="V31" s="11"/>
      <x:c r="W31" s="11"/>
      <x:c r="X31" s="11"/>
      <x:c r="Y31" s="11"/>
      <x:c r="Z31" s="11"/>
    </x:row>
    <x:row r="32">
      <x:c r="A32"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B32"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C32"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D32"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E32"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F32"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G32"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H32"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I32"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J32"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K32"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L32"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M32"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N32" s="86" t="str">
        <x:v>Không vay 1.262 triệu đồng ở giai đoạn pre-revenue. Huy động 1.800 triệu đồng theo ba tranche từ nhà sáng lập, grant, angel/SAFE và đối tác chiến lược. Kịch bản cơ sở chỉ được mở rộng khi đạt số doanh nghiệp trả phí, tỷ lệ hoàn tất giao dịch và retention. Nếu doanh thu chỉ đạt 70% kế hoạch, cần chuẩn bị vốn cầu nối trước khi tiền mặt âm thay vì tiếp tục tuyển dụng hoặc mở địa bàn.</x:v>
      </x:c>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sheetData>
  <x:mergeCells>
    <x:mergeCell ref="A2:N2"/>
    <x:mergeCell ref="A29:N32"/>
  </x:mergeCells>
  <x:pageMargins left="0.7" right="0.7" top="0.75" bottom="0.75" header="0.3" footer="0.3"/>
  <x:drawing xmlns:r="http://schemas.openxmlformats.org/officeDocument/2006/relationships" r:id="Rd6d47f87f4d64268"/>
</x:worksheet>
</file>

<file path=xl/worksheets/sheet2.xml><?xml version="1.0" encoding="utf-8"?>
<x:worksheet xmlns:x="http://schemas.openxmlformats.org/spreadsheetml/2006/main">
  <x:sheetPr>
    <x:tabColor rgb="FF17365D"/>
  </x:sheetPr>
  <x:sheetViews>
    <x:sheetView showGridLines="0" workbookViewId="0"/>
  </x:sheetViews>
  <x:sheetFormatPr defaultRowHeight="15"/>
  <x:cols>
    <x:col min="1" max="1" width="29" hidden="0" customWidth="1"/>
    <x:col min="2" max="2" width="16" hidden="0" customWidth="1"/>
    <x:col min="3" max="3" width="18" hidden="0" customWidth="1"/>
    <x:col min="4" max="4" width="24" hidden="0" customWidth="1"/>
    <x:col min="5" max="5" width="38" hidden="0" customWidth="1"/>
    <x:col min="6" max="6" width="15" hidden="0" customWidth="1"/>
  </x:cols>
  <x:sheetData>
    <x:row r="1">
      <x:c r="A1" s="11"/>
      <x:c r="B1" s="11"/>
      <x:c r="C1" s="11"/>
      <x:c r="D1" s="11"/>
      <x:c r="E1" s="11"/>
      <x:c r="F1" s="11"/>
      <x:c r="G1" s="11"/>
      <x:c r="H1" s="11"/>
      <x:c r="I1" s="11"/>
      <x:c r="J1" s="11"/>
      <x:c r="K1" s="11"/>
      <x:c r="L1" s="11"/>
      <x:c r="M1" s="11"/>
      <x:c r="N1" s="11"/>
      <x:c r="O1" s="11"/>
      <x:c r="P1" s="11"/>
      <x:c r="Q1" s="11"/>
      <x:c r="R1" s="11"/>
      <x:c r="S1" s="11"/>
      <x:c r="T1" s="11"/>
      <x:c r="U1" s="11"/>
      <x:c r="V1" s="11"/>
      <x:c r="W1" s="11"/>
      <x:c r="X1" s="11"/>
      <x:c r="Y1" s="11"/>
      <x:c r="Z1" s="11"/>
    </x:row>
    <x:row r="2" ht="26" customHeight="1">
      <x:c r="A2" s="3" t="str">
        <x:v>Phần 5 Dự kiến tài chính</x:v>
      </x:c>
      <x:c r="B2" s="3" t="str">
        <x:v>Phần 5 Dự kiến tài chính</x:v>
      </x:c>
      <x:c r="C2" s="3" t="str">
        <x:v>Phần 5 Dự kiến tài chính</x:v>
      </x:c>
      <x:c r="D2" s="3" t="str">
        <x:v>Phần 5 Dự kiến tài chính</x:v>
      </x:c>
      <x:c r="E2" s="3" t="str">
        <x:v>Phần 5 Dự kiến tài chính</x:v>
      </x:c>
      <x:c r="F2" s="3" t="str">
        <x:v>Phần 5 Dự kiến tài chính</x:v>
      </x:c>
      <x:c r="G2" s="11"/>
      <x:c r="H2" s="11"/>
      <x:c r="I2" s="11"/>
      <x:c r="J2" s="11"/>
      <x:c r="K2" s="11"/>
      <x:c r="L2" s="11"/>
      <x:c r="M2" s="11"/>
      <x:c r="N2" s="11"/>
      <x:c r="O2" s="11"/>
      <x:c r="P2" s="11"/>
      <x:c r="Q2" s="11"/>
      <x:c r="R2" s="11"/>
      <x:c r="S2" s="11"/>
      <x:c r="T2" s="11"/>
      <x:c r="U2" s="11"/>
      <x:c r="V2" s="11"/>
      <x:c r="W2" s="11"/>
      <x:c r="X2" s="11"/>
      <x:c r="Y2" s="11"/>
      <x:c r="Z2" s="11"/>
    </x:row>
    <x:row r="3">
      <x:c r="A3" s="87"/>
      <x:c r="B3" s="87"/>
      <x:c r="C3" s="87"/>
      <x:c r="D3" s="87"/>
      <x:c r="E3" s="87"/>
      <x:c r="F3" s="87"/>
      <x:c r="G3" s="11"/>
      <x:c r="H3" s="11"/>
      <x:c r="I3" s="11"/>
      <x:c r="J3" s="11"/>
      <x:c r="K3" s="11"/>
      <x:c r="L3" s="11"/>
      <x:c r="M3" s="11"/>
      <x:c r="N3" s="11"/>
      <x:c r="O3" s="11"/>
      <x:c r="P3" s="11"/>
      <x:c r="Q3" s="11"/>
      <x:c r="R3" s="11"/>
      <x:c r="S3" s="11"/>
      <x:c r="T3" s="11"/>
      <x:c r="U3" s="11"/>
      <x:c r="V3" s="11"/>
      <x:c r="W3" s="11"/>
      <x:c r="X3" s="11"/>
      <x:c r="Y3" s="11"/>
      <x:c r="Z3" s="11"/>
    </x:row>
    <x:row r="4">
      <x:c r="A4"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B4"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C4"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D4"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E4"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F4"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G4" s="11"/>
      <x:c r="H4" s="11"/>
      <x:c r="I4" s="11"/>
      <x:c r="J4" s="11"/>
      <x:c r="K4" s="11"/>
      <x:c r="L4" s="11"/>
      <x:c r="M4" s="11"/>
      <x:c r="N4" s="11"/>
      <x:c r="O4" s="11"/>
      <x:c r="P4" s="11"/>
      <x:c r="Q4" s="11"/>
      <x:c r="R4" s="11"/>
      <x:c r="S4" s="11"/>
      <x:c r="T4" s="11"/>
      <x:c r="U4" s="11"/>
      <x:c r="V4" s="11"/>
      <x:c r="W4" s="11"/>
      <x:c r="X4" s="11"/>
      <x:c r="Y4" s="11"/>
      <x:c r="Z4" s="11"/>
    </x:row>
    <x:row r="5">
      <x:c r="A5"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B5"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C5"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D5"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E5"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F5"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G5" s="11"/>
      <x:c r="H5" s="11"/>
      <x:c r="I5" s="11"/>
      <x:c r="J5" s="11"/>
      <x:c r="K5" s="11"/>
      <x:c r="L5" s="11"/>
      <x:c r="M5" s="11"/>
      <x:c r="N5" s="11"/>
      <x:c r="O5" s="11"/>
      <x:c r="P5" s="11"/>
      <x:c r="Q5" s="11"/>
      <x:c r="R5" s="11"/>
      <x:c r="S5" s="11"/>
      <x:c r="T5" s="11"/>
      <x:c r="U5" s="11"/>
      <x:c r="V5" s="11"/>
      <x:c r="W5" s="11"/>
      <x:c r="X5" s="11"/>
      <x:c r="Y5" s="11"/>
      <x:c r="Z5" s="11"/>
    </x:row>
    <x:row r="6">
      <x:c r="A6"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B6"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C6"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D6"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E6"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F6" s="77" t="str">
        <x:v>Kế hoạch tài chính được xây theo nguyên tắc giải ngân theo cột mốc. Dự án không sử dụng nợ ngân hàng trong 24 tháng đầu. Tổng vốn cần huy động là 1.800 triệu đồng, thấp hơn 42,9% so với mức đầu tư 3.154 triệu đồng trong mô hình cũ. Vốn được chia thành ba tranche và chỉ giải ngân khi đạt kết quả pilot hoặc thương mại đã xác định.</x:v>
      </x:c>
      <x:c r="G6" s="11"/>
      <x:c r="H6" s="11"/>
      <x:c r="I6" s="11"/>
      <x:c r="J6" s="11"/>
      <x:c r="K6" s="11"/>
      <x:c r="L6" s="11"/>
      <x:c r="M6" s="11"/>
      <x:c r="N6" s="11"/>
      <x:c r="O6" s="11"/>
      <x:c r="P6" s="11"/>
      <x:c r="Q6" s="11"/>
      <x:c r="R6" s="11"/>
      <x:c r="S6" s="11"/>
      <x:c r="T6" s="11"/>
      <x:c r="U6" s="11"/>
      <x:c r="V6" s="11"/>
      <x:c r="W6" s="11"/>
      <x:c r="X6" s="11"/>
      <x:c r="Y6" s="11"/>
      <x:c r="Z6" s="11"/>
    </x:row>
    <x:row r="7">
      <x:c r="A7" s="11"/>
      <x:c r="B7" s="11"/>
      <x:c r="C7" s="11"/>
      <x:c r="D7" s="11"/>
      <x:c r="E7" s="11"/>
      <x:c r="F7" s="11"/>
      <x:c r="G7" s="11"/>
      <x:c r="H7" s="11"/>
      <x:c r="I7" s="11"/>
      <x:c r="J7" s="11"/>
      <x:c r="K7" s="11"/>
      <x:c r="L7" s="11"/>
      <x:c r="M7" s="11"/>
      <x:c r="N7" s="11"/>
      <x:c r="O7" s="11"/>
      <x:c r="P7" s="11"/>
      <x:c r="Q7" s="11"/>
      <x:c r="R7" s="11"/>
      <x:c r="S7" s="11"/>
      <x:c r="T7" s="11"/>
      <x:c r="U7" s="11"/>
      <x:c r="V7" s="11"/>
      <x:c r="W7" s="11"/>
      <x:c r="X7" s="11"/>
      <x:c r="Y7" s="11"/>
      <x:c r="Z7" s="11"/>
    </x:row>
    <x:row r="8" ht="22" customHeight="1">
      <x:c r="A8" s="25" t="str">
        <x:v>1. Cơ sở lập kế hoạch</x:v>
      </x:c>
      <x:c r="B8" s="26" t="str">
        <x:v>1. Cơ sở lập kế hoạch</x:v>
      </x:c>
      <x:c r="C8" s="26" t="str">
        <x:v>1. Cơ sở lập kế hoạch</x:v>
      </x:c>
      <x:c r="D8" s="26" t="str">
        <x:v>1. Cơ sở lập kế hoạch</x:v>
      </x:c>
      <x:c r="E8" s="26" t="str">
        <x:v>1. Cơ sở lập kế hoạch</x:v>
      </x:c>
      <x:c r="F8" s="27" t="str">
        <x:v>1. Cơ sở lập kế hoạch</x:v>
      </x:c>
      <x:c r="G8" s="11"/>
      <x:c r="H8" s="11"/>
      <x:c r="I8" s="11"/>
      <x:c r="J8" s="11"/>
      <x:c r="K8" s="11"/>
      <x:c r="L8" s="11"/>
      <x:c r="M8" s="11"/>
      <x:c r="N8" s="11"/>
      <x:c r="O8" s="11"/>
      <x:c r="P8" s="11"/>
      <x:c r="Q8" s="11"/>
      <x:c r="R8" s="11"/>
      <x:c r="S8" s="11"/>
      <x:c r="T8" s="11"/>
      <x:c r="U8" s="11"/>
      <x:c r="V8" s="11"/>
      <x:c r="W8" s="11"/>
      <x:c r="X8" s="11"/>
      <x:c r="Y8" s="11"/>
      <x:c r="Z8" s="11"/>
    </x:row>
    <x:row r="9">
      <x:c r="A9" s="10" t="str">
        <x:v>Giả định</x:v>
      </x:c>
      <x:c r="B9" s="10" t="str">
        <x:v>Kế hoạch điều chỉnh</x:v>
      </x:c>
      <x:c r="C9" s="10" t="str">
        <x:v>Cơ sở kiểm chứng</x:v>
      </x:c>
      <x:c r="D9" s="11"/>
      <x:c r="E9" s="11"/>
      <x:c r="F9" s="11"/>
      <x:c r="G9" s="11"/>
      <x:c r="H9" s="11"/>
      <x:c r="I9" s="11"/>
      <x:c r="J9" s="11"/>
      <x:c r="K9" s="11"/>
      <x:c r="L9" s="11"/>
      <x:c r="M9" s="11"/>
      <x:c r="N9" s="11"/>
      <x:c r="O9" s="11"/>
      <x:c r="P9" s="11"/>
      <x:c r="Q9" s="11"/>
      <x:c r="R9" s="11"/>
      <x:c r="S9" s="11"/>
      <x:c r="T9" s="11"/>
      <x:c r="U9" s="11"/>
      <x:c r="V9" s="11"/>
      <x:c r="W9" s="11"/>
      <x:c r="X9" s="11"/>
      <x:c r="Y9" s="11"/>
      <x:c r="Z9" s="11"/>
    </x:row>
    <x:row r="10">
      <x:c r="A10" s="13" t="str">
        <x:v>Nhu cầu vốn</x:v>
      </x:c>
      <x:c r="B10" s="13" t="str">
        <x:v>1.800 triệu đồng theo 3 tranche</x:v>
      </x:c>
      <x:c r="C10" s="13" t="str">
        <x:v>Chỉ giải ngân sau cổng pilot, trả phí và retention</x:v>
      </x:c>
      <x:c r="D10" s="11"/>
      <x:c r="E10" s="11"/>
      <x:c r="F10" s="11"/>
      <x:c r="G10" s="11"/>
      <x:c r="H10" s="11"/>
      <x:c r="I10" s="11"/>
      <x:c r="J10" s="11"/>
      <x:c r="K10" s="11"/>
      <x:c r="L10" s="11"/>
      <x:c r="M10" s="11"/>
      <x:c r="N10" s="11"/>
      <x:c r="O10" s="11"/>
      <x:c r="P10" s="11"/>
      <x:c r="Q10" s="11"/>
      <x:c r="R10" s="11"/>
      <x:c r="S10" s="11"/>
      <x:c r="T10" s="11"/>
      <x:c r="U10" s="11"/>
      <x:c r="V10" s="11"/>
      <x:c r="W10" s="11"/>
      <x:c r="X10" s="11"/>
      <x:c r="Y10" s="11"/>
      <x:c r="Z10" s="11"/>
    </x:row>
    <x:row r="11">
      <x:c r="A11" s="14" t="str">
        <x:v>Cấu trúc vốn 24 tháng đầu</x:v>
      </x:c>
      <x:c r="B11" s="14" t="str">
        <x:v>0% nợ ngân hàng</x:v>
      </x:c>
      <x:c r="C11" s="14" t="str">
        <x:v>Không có tài sản bảo đảm và chưa có dòng tiền ổn định</x:v>
      </x:c>
      <x:c r="D11" s="11"/>
      <x:c r="E11" s="11"/>
      <x:c r="F11" s="11"/>
      <x:c r="G11" s="11"/>
      <x:c r="H11" s="11"/>
      <x:c r="I11" s="11"/>
      <x:c r="J11" s="11"/>
      <x:c r="K11" s="11"/>
      <x:c r="L11" s="11"/>
      <x:c r="M11" s="11"/>
      <x:c r="N11" s="11"/>
      <x:c r="O11" s="11"/>
      <x:c r="P11" s="11"/>
      <x:c r="Q11" s="11"/>
      <x:c r="R11" s="11"/>
      <x:c r="S11" s="11"/>
      <x:c r="T11" s="11"/>
      <x:c r="U11" s="11"/>
      <x:c r="V11" s="11"/>
      <x:c r="W11" s="11"/>
      <x:c r="X11" s="11"/>
      <x:c r="Y11" s="11"/>
      <x:c r="Z11" s="11"/>
    </x:row>
    <x:row r="12">
      <x:c r="A12" s="14" t="str">
        <x:v>Phí nền tảng</x:v>
      </x:c>
      <x:c r="B12" s="14" t="str">
        <x:v>5,0 triệu đồng/DN/tháng ở Năm 1</x:v>
      </x:c>
      <x:c r="C12" s="14" t="str">
        <x:v>Thử nghiệm willingness-to-pay; tăng theo giá trị sử dụng</x:v>
      </x:c>
      <x:c r="D12" s="11"/>
      <x:c r="E12" s="11"/>
      <x:c r="F12" s="11"/>
      <x:c r="G12" s="11"/>
      <x:c r="H12" s="11"/>
      <x:c r="I12" s="11"/>
      <x:c r="J12" s="11"/>
      <x:c r="K12" s="11"/>
      <x:c r="L12" s="11"/>
      <x:c r="M12" s="11"/>
      <x:c r="N12" s="11"/>
      <x:c r="O12" s="11"/>
      <x:c r="P12" s="11"/>
      <x:c r="Q12" s="11"/>
      <x:c r="R12" s="11"/>
      <x:c r="S12" s="11"/>
      <x:c r="T12" s="11"/>
      <x:c r="U12" s="11"/>
      <x:c r="V12" s="11"/>
      <x:c r="W12" s="11"/>
      <x:c r="X12" s="11"/>
      <x:c r="Y12" s="11"/>
      <x:c r="Z12" s="11"/>
    </x:row>
    <x:row r="13">
      <x:c r="A13" s="14" t="str">
        <x:v>Phí giao dịch</x:v>
      </x:c>
      <x:c r="B13" s="14" t="str">
        <x:v>4% trên GMV đã hoàn tất</x:v>
      </x:c>
      <x:c r="C13" s="14" t="str">
        <x:v>Chỉ ghi nhận giao dịch xác thực, không tính lead</x:v>
      </x:c>
      <x:c r="D13" s="11"/>
      <x:c r="E13" s="11"/>
      <x:c r="F13" s="11"/>
      <x:c r="G13" s="11"/>
      <x:c r="H13" s="11"/>
      <x:c r="I13" s="11"/>
      <x:c r="J13" s="11"/>
      <x:c r="K13" s="11"/>
      <x:c r="L13" s="11"/>
      <x:c r="M13" s="11"/>
      <x:c r="N13" s="11"/>
      <x:c r="O13" s="11"/>
      <x:c r="P13" s="11"/>
      <x:c r="Q13" s="11"/>
      <x:c r="R13" s="11"/>
      <x:c r="S13" s="11"/>
      <x:c r="T13" s="11"/>
      <x:c r="U13" s="11"/>
      <x:c r="V13" s="11"/>
      <x:c r="W13" s="11"/>
      <x:c r="X13" s="11"/>
      <x:c r="Y13" s="11"/>
      <x:c r="Z13" s="11"/>
    </x:row>
    <x:row r="14">
      <x:c r="A14" s="14" t="str">
        <x:v>Doanh thu bảo hiểm</x:v>
      </x:c>
      <x:c r="B14" s="14" t="str">
        <x:v>Không ghi nhận</x:v>
      </x:c>
      <x:c r="C14" s="14" t="str">
        <x:v>Chưa có đối tác được cấp phép và hợp đồng thương mại</x:v>
      </x:c>
      <x:c r="D14" s="11"/>
      <x:c r="E14" s="11"/>
      <x:c r="F14" s="11"/>
      <x:c r="G14" s="11"/>
      <x:c r="H14" s="11"/>
      <x:c r="I14" s="11"/>
      <x:c r="J14" s="11"/>
      <x:c r="K14" s="11"/>
      <x:c r="L14" s="11"/>
      <x:c r="M14" s="11"/>
      <x:c r="N14" s="11"/>
      <x:c r="O14" s="11"/>
      <x:c r="P14" s="11"/>
      <x:c r="Q14" s="11"/>
      <x:c r="R14" s="11"/>
      <x:c r="S14" s="11"/>
      <x:c r="T14" s="11"/>
      <x:c r="U14" s="11"/>
      <x:c r="V14" s="11"/>
      <x:c r="W14" s="11"/>
      <x:c r="X14" s="11"/>
      <x:c r="Y14" s="11"/>
      <x:c r="Z14" s="11"/>
    </x:row>
    <x:row r="15">
      <x:c r="A15" s="14" t="str">
        <x:v>Điểm hòa vốn EBITDA</x:v>
      </x:c>
      <x:c r="B15" s="14" t="str">
        <x:v>Năm 3 trong kịch bản cơ sở</x:v>
      </x:c>
      <x:c r="C15" s="14" t="str">
        <x:v>Phụ thuộc vào 18 DN trả phí bình quân và 22 tỷ đồng GMV</x:v>
      </x:c>
      <x:c r="D15" s="11"/>
      <x:c r="E15" s="11"/>
      <x:c r="F15" s="11"/>
      <x:c r="G15" s="11"/>
      <x:c r="H15" s="11"/>
      <x:c r="I15" s="11"/>
      <x:c r="J15" s="11"/>
      <x:c r="K15" s="11"/>
      <x:c r="L15" s="11"/>
      <x:c r="M15" s="11"/>
      <x:c r="N15" s="11"/>
      <x:c r="O15" s="11"/>
      <x:c r="P15" s="11"/>
      <x:c r="Q15" s="11"/>
      <x:c r="R15" s="11"/>
      <x:c r="S15" s="11"/>
      <x:c r="T15" s="11"/>
      <x:c r="U15" s="11"/>
      <x:c r="V15" s="11"/>
      <x:c r="W15" s="11"/>
      <x:c r="X15" s="11"/>
      <x:c r="Y15" s="11"/>
      <x:c r="Z15" s="11"/>
    </x:row>
    <x:row r="16">
      <x:c r="A16" s="11"/>
      <x:c r="B16" s="11"/>
      <x:c r="C16" s="11"/>
      <x:c r="D16" s="11"/>
      <x:c r="E16" s="11"/>
      <x:c r="F16" s="11"/>
      <x:c r="G16" s="11"/>
      <x:c r="H16" s="11"/>
      <x:c r="I16" s="11"/>
      <x:c r="J16" s="11"/>
      <x:c r="K16" s="11"/>
      <x:c r="L16" s="11"/>
      <x:c r="M16" s="11"/>
      <x:c r="N16" s="11"/>
      <x:c r="O16" s="11"/>
      <x:c r="P16" s="11"/>
      <x:c r="Q16" s="11"/>
      <x:c r="R16" s="11"/>
      <x:c r="S16" s="11"/>
      <x:c r="T16" s="11"/>
      <x:c r="U16" s="11"/>
      <x:c r="V16" s="11"/>
      <x:c r="W16" s="11"/>
      <x:c r="X16" s="11"/>
      <x:c r="Y16" s="11"/>
      <x:c r="Z16" s="11"/>
    </x:row>
    <x:row r="17" ht="22" customHeight="1">
      <x:c r="A17" s="25" t="str">
        <x:v>2. Doanh thu, chi phí và lợi nhuận</x:v>
      </x:c>
      <x:c r="B17" s="26" t="str">
        <x:v>2. Doanh thu, chi phí và lợi nhuận</x:v>
      </x:c>
      <x:c r="C17" s="26" t="str">
        <x:v>2. Doanh thu, chi phí và lợi nhuận</x:v>
      </x:c>
      <x:c r="D17" s="26" t="str">
        <x:v>2. Doanh thu, chi phí và lợi nhuận</x:v>
      </x:c>
      <x:c r="E17" s="26" t="str">
        <x:v>2. Doanh thu, chi phí và lợi nhuận</x:v>
      </x:c>
      <x:c r="F17" s="27" t="str">
        <x:v>2. Doanh thu, chi phí và lợi nhuận</x:v>
      </x:c>
      <x:c r="G17" s="11"/>
      <x:c r="H17" s="11"/>
      <x:c r="I17" s="11"/>
      <x:c r="J17" s="11"/>
      <x:c r="K17" s="11"/>
      <x:c r="L17" s="11"/>
      <x:c r="M17" s="11"/>
      <x:c r="N17" s="11"/>
      <x:c r="O17" s="11"/>
      <x:c r="P17" s="11"/>
      <x:c r="Q17" s="11"/>
      <x:c r="R17" s="11"/>
      <x:c r="S17" s="11"/>
      <x:c r="T17" s="11"/>
      <x:c r="U17" s="11"/>
      <x:c r="V17" s="11"/>
      <x:c r="W17" s="11"/>
      <x:c r="X17" s="11"/>
      <x:c r="Y17" s="11"/>
      <x:c r="Z17" s="11"/>
    </x:row>
    <x:row r="18">
      <x:c r="A18" s="10" t="str">
        <x:v>Chỉ tiêu (triệu đồng)</x:v>
      </x:c>
      <x:c r="B18" s="10" t="str">
        <x:v>Năm 1</x:v>
      </x:c>
      <x:c r="C18" s="10" t="str">
        <x:v>Năm 2</x:v>
      </x:c>
      <x:c r="D18" s="10" t="str">
        <x:v>Năm 3</x:v>
      </x:c>
      <x:c r="E18" s="10" t="str">
        <x:v>Năm 4</x:v>
      </x:c>
      <x:c r="F18" s="10" t="str">
        <x:v>Năm 5</x:v>
      </x:c>
      <x:c r="G18" s="11"/>
      <x:c r="H18" s="11"/>
      <x:c r="I18" s="11"/>
      <x:c r="J18" s="11"/>
      <x:c r="K18" s="11"/>
      <x:c r="L18" s="11"/>
      <x:c r="M18" s="11"/>
      <x:c r="N18" s="11"/>
      <x:c r="O18" s="11"/>
      <x:c r="P18" s="11"/>
      <x:c r="Q18" s="11"/>
      <x:c r="R18" s="11"/>
      <x:c r="S18" s="11"/>
      <x:c r="T18" s="11"/>
      <x:c r="U18" s="11"/>
      <x:c r="V18" s="11"/>
      <x:c r="W18" s="11"/>
      <x:c r="X18" s="11"/>
      <x:c r="Y18" s="11"/>
      <x:c r="Z18" s="11"/>
    </x:row>
    <x:row r="19">
      <x:c r="A19" s="29" t="str">
        <x:v>Doanh thu</x:v>
      </x:c>
      <x:c r="B19" s="78" t="n">
        <x:f>'Mô hình 5 năm'!B12</x:f>
        <x:v>232</x:v>
      </x:c>
      <x:c r="C19" s="78" t="n">
        <x:f>'Mô hình 5 năm'!C12</x:f>
        <x:v>1200</x:v>
      </x:c>
      <x:c r="D19" s="78" t="n">
        <x:f>'Mô hình 5 năm'!D12</x:f>
        <x:v>2800</x:v>
      </x:c>
      <x:c r="E19" s="78" t="n">
        <x:f>'Mô hình 5 năm'!E12</x:f>
        <x:v>5600</x:v>
      </x:c>
      <x:c r="F19" s="78" t="n">
        <x:f>'Mô hình 5 năm'!F12</x:f>
        <x:v>9500</x:v>
      </x:c>
      <x:c r="G19" s="11"/>
      <x:c r="H19" s="11"/>
      <x:c r="I19" s="11"/>
      <x:c r="J19" s="11"/>
      <x:c r="K19" s="11"/>
      <x:c r="L19" s="11"/>
      <x:c r="M19" s="11"/>
      <x:c r="N19" s="11"/>
      <x:c r="O19" s="11"/>
      <x:c r="P19" s="11"/>
      <x:c r="Q19" s="11"/>
      <x:c r="R19" s="11"/>
      <x:c r="S19" s="11"/>
      <x:c r="T19" s="11"/>
      <x:c r="U19" s="11"/>
      <x:c r="V19" s="11"/>
      <x:c r="W19" s="11"/>
      <x:c r="X19" s="11"/>
      <x:c r="Y19" s="11"/>
      <x:c r="Z19" s="11"/>
    </x:row>
    <x:row r="20">
      <x:c r="A20" s="30" t="str">
        <x:v>Chi phí vận hành</x:v>
      </x:c>
      <x:c r="B20" s="47" t="n">
        <x:f>'Mô hình 5 năm'!B18</x:f>
        <x:v>1119</x:v>
      </x:c>
      <x:c r="C20" s="47" t="n">
        <x:f>'Mô hình 5 năm'!C18</x:f>
        <x:v>1500</x:v>
      </x:c>
      <x:c r="D20" s="47" t="n">
        <x:f>'Mô hình 5 năm'!D18</x:f>
        <x:v>2250</x:v>
      </x:c>
      <x:c r="E20" s="47" t="n">
        <x:f>'Mô hình 5 năm'!E18</x:f>
        <x:v>3450</x:v>
      </x:c>
      <x:c r="F20" s="47" t="n">
        <x:f>'Mô hình 5 năm'!F18</x:f>
        <x:v>5250</x:v>
      </x:c>
      <x:c r="G20" s="11"/>
      <x:c r="H20" s="11"/>
      <x:c r="I20" s="11"/>
      <x:c r="J20" s="11"/>
      <x:c r="K20" s="11"/>
      <x:c r="L20" s="11"/>
      <x:c r="M20" s="11"/>
      <x:c r="N20" s="11"/>
      <x:c r="O20" s="11"/>
      <x:c r="P20" s="11"/>
      <x:c r="Q20" s="11"/>
      <x:c r="R20" s="11"/>
      <x:c r="S20" s="11"/>
      <x:c r="T20" s="11"/>
      <x:c r="U20" s="11"/>
      <x:c r="V20" s="11"/>
      <x:c r="W20" s="11"/>
      <x:c r="X20" s="11"/>
      <x:c r="Y20" s="11"/>
      <x:c r="Z20" s="11"/>
    </x:row>
    <x:row r="21">
      <x:c r="A21" s="51" t="str">
        <x:v>EBITDA</x:v>
      </x:c>
      <x:c r="B21" s="52" t="n">
        <x:f>'Mô hình 5 năm'!B19</x:f>
        <x:v>-887</x:v>
      </x:c>
      <x:c r="C21" s="52" t="n">
        <x:f>'Mô hình 5 năm'!C19</x:f>
        <x:v>-300</x:v>
      </x:c>
      <x:c r="D21" s="52" t="n">
        <x:f>'Mô hình 5 năm'!D19</x:f>
        <x:v>550</x:v>
      </x:c>
      <x:c r="E21" s="52" t="n">
        <x:f>'Mô hình 5 năm'!E19</x:f>
        <x:v>2150</x:v>
      </x:c>
      <x:c r="F21" s="52" t="n">
        <x:f>'Mô hình 5 năm'!F19</x:f>
        <x:v>4250</x:v>
      </x:c>
      <x:c r="G21" s="11"/>
      <x:c r="H21" s="11"/>
      <x:c r="I21" s="11"/>
      <x:c r="J21" s="11"/>
      <x:c r="K21" s="11"/>
      <x:c r="L21" s="11"/>
      <x:c r="M21" s="11"/>
      <x:c r="N21" s="11"/>
      <x:c r="O21" s="11"/>
      <x:c r="P21" s="11"/>
      <x:c r="Q21" s="11"/>
      <x:c r="R21" s="11"/>
      <x:c r="S21" s="11"/>
      <x:c r="T21" s="11"/>
      <x:c r="U21" s="11"/>
      <x:c r="V21" s="11"/>
      <x:c r="W21" s="11"/>
      <x:c r="X21" s="11"/>
      <x:c r="Y21" s="11"/>
      <x:c r="Z21" s="11"/>
    </x:row>
    <x:row r="22">
      <x:c r="A22" s="51" t="str">
        <x:v>Lợi nhuận ròng</x:v>
      </x:c>
      <x:c r="B22" s="52" t="n">
        <x:f>'Mô hình 5 năm'!B24</x:f>
        <x:v>-955</x:v>
      </x:c>
      <x:c r="C22" s="52" t="n">
        <x:f>'Mô hình 5 năm'!C24</x:f>
        <x:v>-398</x:v>
      </x:c>
      <x:c r="D22" s="52" t="n">
        <x:f>'Mô hình 5 năm'!D24</x:f>
        <x:v>332.8</x:v>
      </x:c>
      <x:c r="E22" s="52" t="n">
        <x:f>'Mô hình 5 năm'!E24</x:f>
        <x:v>1572.8</x:v>
      </x:c>
      <x:c r="F22" s="52" t="n">
        <x:f>'Mô hình 5 năm'!F24</x:f>
        <x:v>3196.8</x:v>
      </x:c>
      <x:c r="G22" s="11"/>
      <x:c r="H22" s="11"/>
      <x:c r="I22" s="11"/>
      <x:c r="J22" s="11"/>
      <x:c r="K22" s="11"/>
      <x:c r="L22" s="11"/>
      <x:c r="M22" s="11"/>
      <x:c r="N22" s="11"/>
      <x:c r="O22" s="11"/>
      <x:c r="P22" s="11"/>
      <x:c r="Q22" s="11"/>
      <x:c r="R22" s="11"/>
      <x:c r="S22" s="11"/>
      <x:c r="T22" s="11"/>
      <x:c r="U22" s="11"/>
      <x:c r="V22" s="11"/>
      <x:c r="W22" s="11"/>
      <x:c r="X22" s="11"/>
      <x:c r="Y22" s="11"/>
      <x:c r="Z22" s="11"/>
    </x:row>
    <x:row r="23">
      <x:c r="A23" s="51" t="str">
        <x:v>Tiền cuối kỳ</x:v>
      </x:c>
      <x:c r="B23" s="52" t="n">
        <x:f>'Mô hình 5 năm'!B29</x:f>
        <x:v>73</x:v>
      </x:c>
      <x:c r="C23" s="52" t="n">
        <x:f>'Mô hình 5 năm'!C29</x:f>
        <x:v>123</x:v>
      </x:c>
      <x:c r="D23" s="52" t="n">
        <x:f>'Mô hình 5 năm'!D29</x:f>
        <x:v>409.8</x:v>
      </x:c>
      <x:c r="E23" s="52" t="n">
        <x:f>'Mô hình 5 năm'!E29</x:f>
        <x:v>1916.6</x:v>
      </x:c>
      <x:c r="F23" s="52" t="n">
        <x:f>'Mô hình 5 năm'!F29</x:f>
        <x:v>5017.4</x:v>
      </x:c>
      <x:c r="G23" s="11"/>
      <x:c r="H23" s="11"/>
      <x:c r="I23" s="11"/>
      <x:c r="J23" s="11"/>
      <x:c r="K23" s="11"/>
      <x:c r="L23" s="11"/>
      <x:c r="M23" s="11"/>
      <x:c r="N23" s="11"/>
      <x:c r="O23" s="11"/>
      <x:c r="P23" s="11"/>
      <x:c r="Q23" s="11"/>
      <x:c r="R23" s="11"/>
      <x:c r="S23" s="11"/>
      <x:c r="T23" s="11"/>
      <x:c r="U23" s="11"/>
      <x:c r="V23" s="11"/>
      <x:c r="W23" s="11"/>
      <x:c r="X23" s="11"/>
      <x:c r="Y23" s="11"/>
      <x:c r="Z23" s="11"/>
    </x:row>
    <x:row r="24">
      <x:c r="A24" s="30" t="str">
        <x:v>DN trả phí bình quân</x:v>
      </x:c>
      <x:c r="B24" s="79" t="n">
        <x:f>'Mô hình 5 năm'!B5</x:f>
        <x:v>1.5</x:v>
      </x:c>
      <x:c r="C24" s="79" t="n">
        <x:f>'Mô hình 5 năm'!C5</x:f>
        <x:v>8</x:v>
      </x:c>
      <x:c r="D24" s="79" t="n">
        <x:f>'Mô hình 5 năm'!D5</x:f>
        <x:v>18</x:v>
      </x:c>
      <x:c r="E24" s="79" t="n">
        <x:f>'Mô hình 5 năm'!E5</x:f>
        <x:v>35</x:v>
      </x:c>
      <x:c r="F24" s="79" t="n">
        <x:f>'Mô hình 5 năm'!F5</x:f>
        <x:v>60</x:v>
      </x:c>
      <x:c r="G24" s="11"/>
      <x:c r="H24" s="11"/>
      <x:c r="I24" s="11"/>
      <x:c r="J24" s="11"/>
      <x:c r="K24" s="11"/>
      <x:c r="L24" s="11"/>
      <x:c r="M24" s="11"/>
      <x:c r="N24" s="11"/>
      <x:c r="O24" s="11"/>
      <x:c r="P24" s="11"/>
      <x:c r="Q24" s="11"/>
      <x:c r="R24" s="11"/>
      <x:c r="S24" s="11"/>
      <x:c r="T24" s="11"/>
      <x:c r="U24" s="11"/>
      <x:c r="V24" s="11"/>
      <x:c r="W24" s="11"/>
      <x:c r="X24" s="11"/>
      <x:c r="Y24" s="11"/>
      <x:c r="Z24" s="11"/>
    </x:row>
    <x:row r="25">
      <x:c r="A25" s="11"/>
      <x:c r="B25" s="11"/>
      <x:c r="C25" s="11"/>
      <x:c r="D25" s="11"/>
      <x:c r="E25" s="11"/>
      <x:c r="F25" s="11"/>
      <x:c r="G25" s="11"/>
      <x:c r="H25" s="11"/>
      <x:c r="I25" s="11"/>
      <x:c r="J25" s="11"/>
      <x:c r="K25" s="11"/>
      <x:c r="L25" s="11"/>
      <x:c r="M25" s="11"/>
      <x:c r="N25" s="11"/>
      <x:c r="O25" s="11"/>
      <x:c r="P25" s="11"/>
      <x:c r="Q25" s="11"/>
      <x:c r="R25" s="11"/>
      <x:c r="S25" s="11"/>
      <x:c r="T25" s="11"/>
      <x:c r="U25" s="11"/>
      <x:c r="V25" s="11"/>
      <x:c r="W25" s="11"/>
      <x:c r="X25" s="11"/>
      <x:c r="Y25" s="11"/>
      <x:c r="Z25" s="11"/>
    </x:row>
    <x:row r="26" ht="22" customHeight="1">
      <x:c r="A26" s="25" t="str">
        <x:v>3. Phương án huy động vốn</x:v>
      </x:c>
      <x:c r="B26" s="26" t="str">
        <x:v>3. Phương án huy động vốn</x:v>
      </x:c>
      <x:c r="C26" s="26" t="str">
        <x:v>3. Phương án huy động vốn</x:v>
      </x:c>
      <x:c r="D26" s="26" t="str">
        <x:v>3. Phương án huy động vốn</x:v>
      </x:c>
      <x:c r="E26" s="26" t="str">
        <x:v>3. Phương án huy động vốn</x:v>
      </x:c>
      <x:c r="F26" s="27" t="str">
        <x:v>3. Phương án huy động vốn</x:v>
      </x:c>
      <x:c r="G26" s="11"/>
      <x:c r="H26" s="11"/>
      <x:c r="I26" s="11"/>
      <x:c r="J26" s="11"/>
      <x:c r="K26" s="11"/>
      <x:c r="L26" s="11"/>
      <x:c r="M26" s="11"/>
      <x:c r="N26" s="11"/>
      <x:c r="O26" s="11"/>
      <x:c r="P26" s="11"/>
      <x:c r="Q26" s="11"/>
      <x:c r="R26" s="11"/>
      <x:c r="S26" s="11"/>
      <x:c r="T26" s="11"/>
      <x:c r="U26" s="11"/>
      <x:c r="V26" s="11"/>
      <x:c r="W26" s="11"/>
      <x:c r="X26" s="11"/>
      <x:c r="Y26" s="11"/>
      <x:c r="Z26" s="11"/>
    </x:row>
    <x:row r="27">
      <x:c r="A27" s="10" t="str">
        <x:v>Tranche</x:v>
      </x:c>
      <x:c r="B27" s="10" t="str">
        <x:v>Thời điểm</x:v>
      </x:c>
      <x:c r="C27" s="10" t="str">
        <x:v>Số tiền</x:v>
      </x:c>
      <x:c r="D27" s="10" t="str">
        <x:v>Nguồn chính</x:v>
      </x:c>
      <x:c r="E27" s="10" t="str">
        <x:v>Điều kiện</x:v>
      </x:c>
      <x:c r="F27" s="10" t="str">
        <x:v>Nợ ngân hàng</x:v>
      </x:c>
      <x:c r="G27" s="11"/>
      <x:c r="H27" s="11"/>
      <x:c r="I27" s="11"/>
      <x:c r="J27" s="11"/>
      <x:c r="K27" s="11"/>
      <x:c r="L27" s="11"/>
      <x:c r="M27" s="11"/>
      <x:c r="N27" s="11"/>
      <x:c r="O27" s="11"/>
      <x:c r="P27" s="11"/>
      <x:c r="Q27" s="11"/>
      <x:c r="R27" s="11"/>
      <x:c r="S27" s="11"/>
      <x:c r="T27" s="11"/>
      <x:c r="U27" s="11"/>
      <x:c r="V27" s="11"/>
      <x:c r="W27" s="11"/>
      <x:c r="X27" s="11"/>
      <x:c r="Y27" s="11"/>
      <x:c r="Z27" s="11"/>
    </x:row>
    <x:row r="28">
      <x:c r="A28" s="13" t="str">
        <x:v>0</x:v>
      </x:c>
      <x:c r="B28" s="13" t="str">
        <x:v>Tháng 1</x:v>
      </x:c>
      <x:c r="C28" s="56" t="n">
        <x:v>700</x:v>
      </x:c>
      <x:c r="D28" s="13" t="str">
        <x:v>Nhà sáng lập, grant, angel</x:v>
      </x:c>
      <x:c r="E28" s="13" t="str">
        <x:v>MVP ổn định và có đối tác pilot</x:v>
      </x:c>
      <x:c r="F28" s="56" t="n">
        <x:v>0</x:v>
      </x:c>
      <x:c r="G28" s="11"/>
      <x:c r="H28" s="11"/>
      <x:c r="I28" s="11"/>
      <x:c r="J28" s="11"/>
      <x:c r="K28" s="11"/>
      <x:c r="L28" s="11"/>
      <x:c r="M28" s="11"/>
      <x:c r="N28" s="11"/>
      <x:c r="O28" s="11"/>
      <x:c r="P28" s="11"/>
      <x:c r="Q28" s="11"/>
      <x:c r="R28" s="11"/>
      <x:c r="S28" s="11"/>
      <x:c r="T28" s="11"/>
      <x:c r="U28" s="11"/>
      <x:c r="V28" s="11"/>
      <x:c r="W28" s="11"/>
      <x:c r="X28" s="11"/>
      <x:c r="Y28" s="11"/>
      <x:c r="Z28" s="11"/>
    </x:row>
    <x:row r="29">
      <x:c r="A29" s="14" t="str">
        <x:v>1</x:v>
      </x:c>
      <x:c r="B29" s="14" t="str">
        <x:v>Tháng 7</x:v>
      </x:c>
      <x:c r="C29" s="57" t="n">
        <x:v>600</x:v>
      </x:c>
      <x:c r="D29" s="14" t="str">
        <x:v>Grant, angel, đối tác</x:v>
      </x:c>
      <x:c r="E29" s="14" t="str">
        <x:v>10 giao dịch hoàn tất và bắt đầu trả phí</x:v>
      </x:c>
      <x:c r="F29" s="57" t="n">
        <x:v>0</x:v>
      </x:c>
      <x:c r="G29" s="11"/>
      <x:c r="H29" s="11"/>
      <x:c r="I29" s="11"/>
      <x:c r="J29" s="11"/>
      <x:c r="K29" s="11"/>
      <x:c r="L29" s="11"/>
      <x:c r="M29" s="11"/>
      <x:c r="N29" s="11"/>
      <x:c r="O29" s="11"/>
      <x:c r="P29" s="11"/>
      <x:c r="Q29" s="11"/>
      <x:c r="R29" s="11"/>
      <x:c r="S29" s="11"/>
      <x:c r="T29" s="11"/>
      <x:c r="U29" s="11"/>
      <x:c r="V29" s="11"/>
      <x:c r="W29" s="11"/>
      <x:c r="X29" s="11"/>
      <x:c r="Y29" s="11"/>
      <x:c r="Z29" s="11"/>
    </x:row>
    <x:row r="30">
      <x:c r="A30" s="14" t="str">
        <x:v>2</x:v>
      </x:c>
      <x:c r="B30" s="14" t="str">
        <x:v>Tháng 13</x:v>
      </x:c>
      <x:c r="C30" s="57" t="n">
        <x:v>500</x:v>
      </x:c>
      <x:c r="D30" s="14" t="str">
        <x:v>Grant, angel, đối tác</x:v>
      </x:c>
      <x:c r="E30" s="14" t="str">
        <x:v>4 DN trả phí, completion &gt;=70%, retention &gt;=60%</x:v>
      </x:c>
      <x:c r="F30" s="57" t="n">
        <x:v>0</x:v>
      </x:c>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ht="22" customHeight="1">
      <x:c r="A32" s="25" t="str">
        <x:v>4. Kỷ luật tài chính</x:v>
      </x:c>
      <x:c r="B32" s="26" t="str">
        <x:v>4. Kỷ luật tài chính</x:v>
      </x:c>
      <x:c r="C32" s="26" t="str">
        <x:v>4. Kỷ luật tài chính</x:v>
      </x:c>
      <x:c r="D32" s="26" t="str">
        <x:v>4. Kỷ luật tài chính</x:v>
      </x:c>
      <x:c r="E32" s="26" t="str">
        <x:v>4. Kỷ luật tài chính</x:v>
      </x:c>
      <x:c r="F32" s="27" t="str">
        <x:v>4. Kỷ luật tài chính</x:v>
      </x:c>
      <x:c r="G32" s="11"/>
      <x:c r="H32" s="11"/>
      <x:c r="I32" s="11"/>
      <x:c r="J32" s="11"/>
      <x:c r="K32" s="11"/>
      <x:c r="L32" s="11"/>
      <x:c r="M32" s="11"/>
      <x:c r="N32" s="11"/>
      <x:c r="O32" s="11"/>
      <x:c r="P32" s="11"/>
      <x:c r="Q32" s="11"/>
      <x:c r="R32" s="11"/>
      <x:c r="S32" s="11"/>
      <x:c r="T32" s="11"/>
      <x:c r="U32" s="11"/>
      <x:c r="V32" s="11"/>
      <x:c r="W32" s="11"/>
      <x:c r="X32" s="11"/>
      <x:c r="Y32" s="11"/>
      <x:c r="Z32" s="11"/>
    </x:row>
    <x:row r="33">
      <x:c r="A33"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B33"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C33"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D33"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E33"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F33"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G33" s="11"/>
      <x:c r="H33" s="11"/>
      <x:c r="I33" s="11"/>
      <x:c r="J33" s="11"/>
      <x:c r="K33" s="11"/>
      <x:c r="L33" s="11"/>
      <x:c r="M33" s="11"/>
      <x:c r="N33" s="11"/>
      <x:c r="O33" s="11"/>
      <x:c r="P33" s="11"/>
      <x:c r="Q33" s="11"/>
      <x:c r="R33" s="11"/>
      <x:c r="S33" s="11"/>
      <x:c r="T33" s="11"/>
      <x:c r="U33" s="11"/>
      <x:c r="V33" s="11"/>
      <x:c r="W33" s="11"/>
      <x:c r="X33" s="11"/>
      <x:c r="Y33" s="11"/>
      <x:c r="Z33" s="11"/>
    </x:row>
    <x:row r="34">
      <x:c r="A34"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B34"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C34"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D34"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E34"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F34"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G34" s="11"/>
      <x:c r="H34" s="11"/>
      <x:c r="I34" s="11"/>
      <x:c r="J34" s="11"/>
      <x:c r="K34" s="11"/>
      <x:c r="L34" s="11"/>
      <x:c r="M34" s="11"/>
      <x:c r="N34" s="11"/>
      <x:c r="O34" s="11"/>
      <x:c r="P34" s="11"/>
      <x:c r="Q34" s="11"/>
      <x:c r="R34" s="11"/>
      <x:c r="S34" s="11"/>
      <x:c r="T34" s="11"/>
      <x:c r="U34" s="11"/>
      <x:c r="V34" s="11"/>
      <x:c r="W34" s="11"/>
      <x:c r="X34" s="11"/>
      <x:c r="Y34" s="11"/>
      <x:c r="Z34" s="11"/>
    </x:row>
    <x:row r="35">
      <x:c r="A35"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B35"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C35"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D35"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E35"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F35"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G35" s="11"/>
      <x:c r="H35" s="11"/>
      <x:c r="I35" s="11"/>
      <x:c r="J35" s="11"/>
      <x:c r="K35" s="11"/>
      <x:c r="L35" s="11"/>
      <x:c r="M35" s="11"/>
      <x:c r="N35" s="11"/>
      <x:c r="O35" s="11"/>
      <x:c r="P35" s="11"/>
      <x:c r="Q35" s="11"/>
      <x:c r="R35" s="11"/>
      <x:c r="S35" s="11"/>
      <x:c r="T35" s="11"/>
      <x:c r="U35" s="11"/>
      <x:c r="V35" s="11"/>
      <x:c r="W35" s="11"/>
      <x:c r="X35" s="11"/>
      <x:c r="Y35" s="11"/>
      <x:c r="Z35" s="11"/>
    </x:row>
    <x:row r="36">
      <x:c r="A36"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B36"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C36"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D36"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E36"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F36"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G36" s="11"/>
      <x:c r="H36" s="11"/>
      <x:c r="I36" s="11"/>
      <x:c r="J36" s="11"/>
      <x:c r="K36" s="11"/>
      <x:c r="L36" s="11"/>
      <x:c r="M36" s="11"/>
      <x:c r="N36" s="11"/>
      <x:c r="O36" s="11"/>
      <x:c r="P36" s="11"/>
      <x:c r="Q36" s="11"/>
      <x:c r="R36" s="11"/>
      <x:c r="S36" s="11"/>
      <x:c r="T36" s="11"/>
      <x:c r="U36" s="11"/>
      <x:c r="V36" s="11"/>
      <x:c r="W36" s="11"/>
      <x:c r="X36" s="11"/>
      <x:c r="Y36" s="11"/>
      <x:c r="Z36" s="11"/>
    </x:row>
    <x:row r="37">
      <x:c r="A37"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B37"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C37"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D37"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E37"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F37"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G37" s="11"/>
      <x:c r="H37" s="11"/>
      <x:c r="I37" s="11"/>
      <x:c r="J37" s="11"/>
      <x:c r="K37" s="11"/>
      <x:c r="L37" s="11"/>
      <x:c r="M37" s="11"/>
      <x:c r="N37" s="11"/>
      <x:c r="O37" s="11"/>
      <x:c r="P37" s="11"/>
      <x:c r="Q37" s="11"/>
      <x:c r="R37" s="11"/>
      <x:c r="S37" s="11"/>
      <x:c r="T37" s="11"/>
      <x:c r="U37" s="11"/>
      <x:c r="V37" s="11"/>
      <x:c r="W37" s="11"/>
      <x:c r="X37" s="11"/>
      <x:c r="Y37" s="11"/>
      <x:c r="Z37" s="11"/>
    </x:row>
    <x:row r="38">
      <x:c r="A38"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B38"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C38"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D38"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E38"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F38" s="77" t="str">
        <x:v>Mô hình ưu tiên runway và cổng kiểm chứng thay vì tối đa hóa NPV trên giấy. Đội không tuyển đủ biên chế ngay từ đầu, không giải ngân toàn bộ chi phí phát triển ứng dụng, không ghi nhận doanh thu bảo hiểm và không vay ngân hàng khi chưa có dòng tiền. Nếu doanh thu chỉ đạt 70% kế hoạch, dự án phải giảm nhịp mở rộng hoặc huy động thêm khoảng vốn cầu nối thể hiện tại sheet Độ nhạy trước khi tiền mặt âm. Sau 24 tháng, hạn mức tín dụng chỉ được xem xét khi có MRR lặp lại, hợp đồng/receivable đủ điều kiện và DSCR có thể kiểm chứng.</x:v>
      </x:c>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sheetData>
  <x:mergeCells>
    <x:mergeCell ref="A2:F2"/>
    <x:mergeCell ref="A4:F6"/>
    <x:mergeCell ref="A33:F38"/>
  </x:mergeCells>
  <x:pageMargins left="0.7" right="0.7" top="0.75" bottom="0.75" header="0.3" footer="0.3"/>
</x:worksheet>
</file>

<file path=xl/worksheets/sheet3.xml><?xml version="1.0" encoding="utf-8"?>
<x:worksheet xmlns:x="http://schemas.openxmlformats.org/spreadsheetml/2006/main">
  <x:sheetPr>
    <x:tabColor rgb="FF5B9BD5"/>
  </x:sheetPr>
  <x:sheetViews>
    <x:sheetView showGridLines="0" workbookViewId="0">
      <x:pane ySplit="4" topLeftCell="A5" activePane="bottomLeft" state="frozen"/>
    </x:sheetView>
  </x:sheetViews>
  <x:sheetFormatPr defaultRowHeight="15"/>
  <x:cols>
    <x:col min="1" max="1" width="43" hidden="0" customWidth="1"/>
    <x:col min="2" max="2" width="13" hidden="0" customWidth="1"/>
    <x:col min="3" max="3" width="13" hidden="0" customWidth="1"/>
    <x:col min="4" max="4" width="13" hidden="0" customWidth="1"/>
    <x:col min="5" max="5" width="13" hidden="0" customWidth="1"/>
    <x:col min="6" max="6" width="13" hidden="0" customWidth="1"/>
    <x:col min="7" max="7" width="3" hidden="0" customWidth="1"/>
    <x:col min="8" max="8" width="33" hidden="0" customWidth="1"/>
    <x:col min="9" max="9" width="50" hidden="0" customWidth="1"/>
  </x:cols>
  <x:sheetData>
    <x:row r="1">
      <x:c r="A1" s="11"/>
      <x:c r="B1" s="11"/>
      <x:c r="C1" s="11"/>
      <x:c r="D1" s="11"/>
      <x:c r="E1" s="11"/>
      <x:c r="F1" s="11"/>
      <x:c r="G1" s="11"/>
      <x:c r="H1" s="11"/>
      <x:c r="I1" s="11"/>
      <x:c r="J1" s="11"/>
      <x:c r="K1" s="11"/>
      <x:c r="L1" s="11"/>
      <x:c r="M1" s="11"/>
      <x:c r="N1" s="11"/>
      <x:c r="O1" s="11"/>
      <x:c r="P1" s="11"/>
      <x:c r="Q1" s="11"/>
      <x:c r="R1" s="11"/>
      <x:c r="S1" s="11"/>
      <x:c r="T1" s="11"/>
      <x:c r="U1" s="11"/>
      <x:c r="V1" s="11"/>
      <x:c r="W1" s="11"/>
      <x:c r="X1" s="11"/>
      <x:c r="Y1" s="11"/>
      <x:c r="Z1" s="11"/>
    </x:row>
    <x:row r="2" ht="26" customHeight="1">
      <x:c r="A2" s="3" t="str">
        <x:v>Giả định tài chính có điều kiện</x:v>
      </x:c>
      <x:c r="B2" s="3" t="str">
        <x:v>Giả định tài chính có điều kiện</x:v>
      </x:c>
      <x:c r="C2" s="3" t="str">
        <x:v>Giả định tài chính có điều kiện</x:v>
      </x:c>
      <x:c r="D2" s="3" t="str">
        <x:v>Giả định tài chính có điều kiện</x:v>
      </x:c>
      <x:c r="E2" s="3" t="str">
        <x:v>Giả định tài chính có điều kiện</x:v>
      </x:c>
      <x:c r="F2" s="3" t="str">
        <x:v>Giả định tài chính có điều kiện</x:v>
      </x:c>
      <x:c r="G2" s="3" t="str">
        <x:v>Giả định tài chính có điều kiện</x:v>
      </x:c>
      <x:c r="H2" s="3" t="str">
        <x:v>Giả định tài chính có điều kiện</x:v>
      </x:c>
      <x:c r="I2" s="3" t="str">
        <x:v>Giả định tài chính có điều kiện</x:v>
      </x:c>
      <x:c r="J2" s="11"/>
      <x:c r="K2" s="11"/>
      <x:c r="L2" s="11"/>
      <x:c r="M2" s="11"/>
      <x:c r="N2" s="11"/>
      <x:c r="O2" s="11"/>
      <x:c r="P2" s="11"/>
      <x:c r="Q2" s="11"/>
      <x:c r="R2" s="11"/>
      <x:c r="S2" s="11"/>
      <x:c r="T2" s="11"/>
      <x:c r="U2" s="11"/>
      <x:c r="V2" s="11"/>
      <x:c r="W2" s="11"/>
      <x:c r="X2" s="11"/>
      <x:c r="Y2" s="11"/>
      <x:c r="Z2" s="11"/>
    </x:row>
    <x:row r="3">
      <x:c r="A3" s="87"/>
      <x:c r="B3" s="87"/>
      <x:c r="C3" s="87"/>
      <x:c r="D3" s="87"/>
      <x:c r="E3" s="87"/>
      <x:c r="F3" s="87"/>
      <x:c r="G3" s="87"/>
      <x:c r="H3" s="87"/>
      <x:c r="I3" s="87"/>
      <x:c r="J3" s="11"/>
      <x:c r="K3" s="11"/>
      <x:c r="L3" s="11"/>
      <x:c r="M3" s="11"/>
      <x:c r="N3" s="11"/>
      <x:c r="O3" s="11"/>
      <x:c r="P3" s="11"/>
      <x:c r="Q3" s="11"/>
      <x:c r="R3" s="11"/>
      <x:c r="S3" s="11"/>
      <x:c r="T3" s="11"/>
      <x:c r="U3" s="11"/>
      <x:c r="V3" s="11"/>
      <x:c r="W3" s="11"/>
      <x:c r="X3" s="11"/>
      <x:c r="Y3" s="11"/>
      <x:c r="Z3" s="11"/>
    </x:row>
    <x:row r="4">
      <x:c r="A4" s="10" t="str">
        <x:v>Chỉ tiêu</x:v>
      </x:c>
      <x:c r="B4" s="10" t="str">
        <x:v>Năm 1</x:v>
      </x:c>
      <x:c r="C4" s="10" t="str">
        <x:v>Năm 2</x:v>
      </x:c>
      <x:c r="D4" s="10" t="str">
        <x:v>Năm 3</x:v>
      </x:c>
      <x:c r="E4" s="10" t="str">
        <x:v>Năm 4</x:v>
      </x:c>
      <x:c r="F4" s="10" t="str">
        <x:v>Năm 5</x:v>
      </x:c>
      <x:c r="G4" s="11"/>
      <x:c r="H4" s="10" t="str">
        <x:v>Nguồn</x:v>
      </x:c>
      <x:c r="I4" s="10" t="str">
        <x:v>Phạm vi sử dụng</x:v>
      </x:c>
      <x:c r="J4" s="11"/>
      <x:c r="K4" s="11"/>
      <x:c r="L4" s="11"/>
      <x:c r="M4" s="11"/>
      <x:c r="N4" s="11"/>
      <x:c r="O4" s="11"/>
      <x:c r="P4" s="11"/>
      <x:c r="Q4" s="11"/>
      <x:c r="R4" s="11"/>
      <x:c r="S4" s="11"/>
      <x:c r="T4" s="11"/>
      <x:c r="U4" s="11"/>
      <x:c r="V4" s="11"/>
      <x:c r="W4" s="11"/>
      <x:c r="X4" s="11"/>
      <x:c r="Y4" s="11"/>
      <x:c r="Z4" s="11"/>
    </x:row>
    <x:row r="5">
      <x:c r="A5" s="13" t="str">
        <x:v>Doanh nghiệp trả phí bình quân</x:v>
      </x:c>
      <x:c r="B5" s="19" t="n">
        <x:v>1.5</x:v>
      </x:c>
      <x:c r="C5" s="19" t="n">
        <x:v>8</x:v>
      </x:c>
      <x:c r="D5" s="19" t="n">
        <x:v>18</x:v>
      </x:c>
      <x:c r="E5" s="19" t="n">
        <x:v>35</x:v>
      </x:c>
      <x:c r="F5" s="19" t="n">
        <x:v>60</x:v>
      </x:c>
      <x:c r="G5" s="11"/>
      <x:c r="H5" s="13" t="str">
        <x:v>BÁO CÁO TÀI CHÍNH SUZ2026 (3)</x:v>
      </x:c>
      <x:c r="I5" s="13" t="str">
        <x:v>Đối chiếu mô hình cũ, mức đầu tư 3.154 triệu đồng, cấu trúc vay và công thức.</x:v>
      </x:c>
      <x:c r="J5" s="11"/>
      <x:c r="K5" s="11"/>
      <x:c r="L5" s="11"/>
      <x:c r="M5" s="11"/>
      <x:c r="N5" s="11"/>
      <x:c r="O5" s="11"/>
      <x:c r="P5" s="11"/>
      <x:c r="Q5" s="11"/>
      <x:c r="R5" s="11"/>
      <x:c r="S5" s="11"/>
      <x:c r="T5" s="11"/>
      <x:c r="U5" s="11"/>
      <x:c r="V5" s="11"/>
      <x:c r="W5" s="11"/>
      <x:c r="X5" s="11"/>
      <x:c r="Y5" s="11"/>
      <x:c r="Z5" s="11"/>
    </x:row>
    <x:row r="6">
      <x:c r="A6" s="14" t="str">
        <x:v>Phí nền tảng bình quân (triệu đồng/DN/tháng)</x:v>
      </x:c>
      <x:c r="B6" s="20" t="n">
        <x:v>5</x:v>
      </x:c>
      <x:c r="C6" s="20" t="n">
        <x:v>6.5</x:v>
      </x:c>
      <x:c r="D6" s="20" t="n">
        <x:v>7.5</x:v>
      </x:c>
      <x:c r="E6" s="20" t="n">
        <x:v>8</x:v>
      </x:c>
      <x:c r="F6" s="20" t="n">
        <x:v>8.5</x:v>
      </x:c>
      <x:c r="G6" s="11"/>
      <x:c r="H6" s="14" t="str">
        <x:v>File ý tưởng CHAMP MẠNH CHAT</x:v>
      </x:c>
      <x:c r="I6" s="14" t="str">
        <x:v>Giai đoạn MVP, khách hàng B2B, pilot 18 tháng và cổng kiểm chứng.</x:v>
      </x:c>
      <x:c r="J6" s="11"/>
      <x:c r="K6" s="11"/>
      <x:c r="L6" s="11"/>
      <x:c r="M6" s="11"/>
      <x:c r="N6" s="11"/>
      <x:c r="O6" s="11"/>
      <x:c r="P6" s="11"/>
      <x:c r="Q6" s="11"/>
      <x:c r="R6" s="11"/>
      <x:c r="S6" s="11"/>
      <x:c r="T6" s="11"/>
      <x:c r="U6" s="11"/>
      <x:c r="V6" s="11"/>
      <x:c r="W6" s="11"/>
      <x:c r="X6" s="11"/>
      <x:c r="Y6" s="11"/>
      <x:c r="Z6" s="11"/>
    </x:row>
    <x:row r="7">
      <x:c r="A7" s="14" t="str">
        <x:v>GMV giao dịch xác thực (triệu đồng)</x:v>
      </x:c>
      <x:c r="B7" s="20" t="n">
        <x:v>1800</x:v>
      </x:c>
      <x:c r="C7" s="20" t="n">
        <x:v>9900</x:v>
      </x:c>
      <x:c r="D7" s="20" t="n">
        <x:v>22000</x:v>
      </x:c>
      <x:c r="E7" s="20" t="n">
        <x:v>45000</x:v>
      </x:c>
      <x:c r="F7" s="20" t="n">
        <x:v>69500</x:v>
      </x:c>
      <x:c r="G7" s="11"/>
      <x:c r="H7" s="14" t="str">
        <x:v>Phần 5 - Dự kiến tài chính</x:v>
      </x:c>
      <x:c r="I7" s="14" t="str">
        <x:v>Khung nội dung doanh thu, chi phí, lợi nhuận và nhu cầu nguồn lực.</x:v>
      </x:c>
      <x:c r="J7" s="11"/>
      <x:c r="K7" s="11"/>
      <x:c r="L7" s="11"/>
      <x:c r="M7" s="11"/>
      <x:c r="N7" s="11"/>
      <x:c r="O7" s="11"/>
      <x:c r="P7" s="11"/>
      <x:c r="Q7" s="11"/>
      <x:c r="R7" s="11"/>
      <x:c r="S7" s="11"/>
      <x:c r="T7" s="11"/>
      <x:c r="U7" s="11"/>
      <x:c r="V7" s="11"/>
      <x:c r="W7" s="11"/>
      <x:c r="X7" s="11"/>
      <x:c r="Y7" s="11"/>
      <x:c r="Z7" s="11"/>
    </x:row>
    <x:row r="8">
      <x:c r="A8" s="14" t="str">
        <x:v>Tỷ lệ phí giao dịch bình quân</x:v>
      </x:c>
      <x:c r="B8" s="21" t="n">
        <x:v>0.04</x:v>
      </x:c>
      <x:c r="C8" s="21" t="n">
        <x:v>0.04</x:v>
      </x:c>
      <x:c r="D8" s="21" t="n">
        <x:v>0.04</x:v>
      </x:c>
      <x:c r="E8" s="21" t="n">
        <x:v>0.04</x:v>
      </x:c>
      <x:c r="F8" s="21" t="n">
        <x:v>0.04</x:v>
      </x:c>
      <x:c r="G8" s="11"/>
      <x:c r="H8" s="14" t="str">
        <x:v>Kế hoạch điều chỉnh</x:v>
      </x:c>
      <x:c r="I8" s="14" t="str">
        <x:v>Giả định mới do đội cần xác nhận bằng báo giá, phỏng vấn và hợp đồng pilot.</x:v>
      </x:c>
      <x:c r="J8" s="11"/>
      <x:c r="K8" s="11"/>
      <x:c r="L8" s="11"/>
      <x:c r="M8" s="11"/>
      <x:c r="N8" s="11"/>
      <x:c r="O8" s="11"/>
      <x:c r="P8" s="11"/>
      <x:c r="Q8" s="11"/>
      <x:c r="R8" s="11"/>
      <x:c r="S8" s="11"/>
      <x:c r="T8" s="11"/>
      <x:c r="U8" s="11"/>
      <x:c r="V8" s="11"/>
      <x:c r="W8" s="11"/>
      <x:c r="X8" s="11"/>
      <x:c r="Y8" s="11"/>
      <x:c r="Z8" s="11"/>
    </x:row>
    <x:row r="9">
      <x:c r="A9" s="14" t="str">
        <x:v>Doanh thu pilot, onboarding và dữ liệu (triệu đồng)</x:v>
      </x:c>
      <x:c r="B9" s="20" t="n">
        <x:v>70</x:v>
      </x:c>
      <x:c r="C9" s="20" t="n">
        <x:v>180</x:v>
      </x:c>
      <x:c r="D9" s="20" t="n">
        <x:v>300</x:v>
      </x:c>
      <x:c r="E9" s="20" t="n">
        <x:v>440</x:v>
      </x:c>
      <x:c r="F9" s="20" t="n">
        <x:v>600</x:v>
      </x:c>
      <x:c r="G9" s="11"/>
      <x:c r="H9" s="11"/>
      <x:c r="I9" s="11"/>
      <x:c r="J9" s="11"/>
      <x:c r="K9" s="11"/>
      <x:c r="L9" s="11"/>
      <x:c r="M9" s="11"/>
      <x:c r="N9" s="11"/>
      <x:c r="O9" s="11"/>
      <x:c r="P9" s="11"/>
      <x:c r="Q9" s="11"/>
      <x:c r="R9" s="11"/>
      <x:c r="S9" s="11"/>
      <x:c r="T9" s="11"/>
      <x:c r="U9" s="11"/>
      <x:c r="V9" s="11"/>
      <x:c r="W9" s="11"/>
      <x:c r="X9" s="11"/>
      <x:c r="Y9" s="11"/>
      <x:c r="Z9" s="11"/>
    </x:row>
    <x:row r="10">
      <x:c r="A10" s="11"/>
      <x:c r="B10" s="11"/>
      <x:c r="C10" s="11"/>
      <x:c r="D10" s="11"/>
      <x:c r="E10" s="11"/>
      <x:c r="F10" s="11"/>
      <x:c r="G10" s="11"/>
      <x:c r="H10" s="11"/>
      <x:c r="I10" s="11"/>
      <x:c r="J10" s="11"/>
      <x:c r="K10" s="11"/>
      <x:c r="L10" s="11"/>
      <x:c r="M10" s="11"/>
      <x:c r="N10" s="11"/>
      <x:c r="O10" s="11"/>
      <x:c r="P10" s="11"/>
      <x:c r="Q10" s="11"/>
      <x:c r="R10" s="11"/>
      <x:c r="S10" s="11"/>
      <x:c r="T10" s="11"/>
      <x:c r="U10" s="11"/>
      <x:c r="V10" s="11"/>
      <x:c r="W10" s="11"/>
      <x:c r="X10" s="11"/>
      <x:c r="Y10" s="11"/>
      <x:c r="Z10" s="11"/>
    </x:row>
    <x:row r="11" ht="22" customHeight="1">
      <x:c r="A11" s="25" t="str">
        <x:v>Chi phí vận hành</x:v>
      </x:c>
      <x:c r="B11" s="26" t="str">
        <x:v>Chi phí vận hành</x:v>
      </x:c>
      <x:c r="C11" s="26" t="str">
        <x:v>Chi phí vận hành</x:v>
      </x:c>
      <x:c r="D11" s="26" t="str">
        <x:v>Chi phí vận hành</x:v>
      </x:c>
      <x:c r="E11" s="26" t="str">
        <x:v>Chi phí vận hành</x:v>
      </x:c>
      <x:c r="F11" s="27" t="str">
        <x:v>Chi phí vận hành</x:v>
      </x:c>
      <x:c r="G11" s="11"/>
      <x:c r="H11" s="11"/>
      <x:c r="I11" s="11"/>
      <x:c r="J11" s="11"/>
      <x:c r="K11" s="11"/>
      <x:c r="L11" s="11"/>
      <x:c r="M11" s="11"/>
      <x:c r="N11" s="11"/>
      <x:c r="O11" s="11"/>
      <x:c r="P11" s="11"/>
      <x:c r="Q11" s="11"/>
      <x:c r="R11" s="11"/>
      <x:c r="S11" s="11"/>
      <x:c r="T11" s="11"/>
      <x:c r="U11" s="11"/>
      <x:c r="V11" s="11"/>
      <x:c r="W11" s="11"/>
      <x:c r="X11" s="11"/>
      <x:c r="Y11" s="11"/>
      <x:c r="Z11" s="11"/>
    </x:row>
    <x:row r="12">
      <x:c r="A12" s="29" t="str">
        <x:v>Nhân sự</x:v>
      </x:c>
      <x:c r="B12" s="35" t="n">
        <x:v>600</x:v>
      </x:c>
      <x:c r="C12" s="35" t="n">
        <x:v>840</x:v>
      </x:c>
      <x:c r="D12" s="35" t="n">
        <x:v>1200</x:v>
      </x:c>
      <x:c r="E12" s="35" t="n">
        <x:v>1800</x:v>
      </x:c>
      <x:c r="F12" s="35" t="n">
        <x:v>2700</x:v>
      </x:c>
      <x:c r="G12" s="11"/>
      <x:c r="H12" s="11"/>
      <x:c r="I12" s="11"/>
      <x:c r="J12" s="11"/>
      <x:c r="K12" s="11"/>
      <x:c r="L12" s="11"/>
      <x:c r="M12" s="11"/>
      <x:c r="N12" s="11"/>
      <x:c r="O12" s="11"/>
      <x:c r="P12" s="11"/>
      <x:c r="Q12" s="11"/>
      <x:c r="R12" s="11"/>
      <x:c r="S12" s="11"/>
      <x:c r="T12" s="11"/>
      <x:c r="U12" s="11"/>
      <x:c r="V12" s="11"/>
      <x:c r="W12" s="11"/>
      <x:c r="X12" s="11"/>
      <x:c r="Y12" s="11"/>
      <x:c r="Z12" s="11"/>
    </x:row>
    <x:row r="13">
      <x:c r="A13" s="30" t="str">
        <x:v>Cloud, dữ liệu và bảo mật</x:v>
      </x:c>
      <x:c r="B13" s="36" t="n">
        <x:v>120</x:v>
      </x:c>
      <x:c r="C13" s="36" t="n">
        <x:v>180</x:v>
      </x:c>
      <x:c r="D13" s="36" t="n">
        <x:v>300</x:v>
      </x:c>
      <x:c r="E13" s="36" t="n">
        <x:v>480</x:v>
      </x:c>
      <x:c r="F13" s="36" t="n">
        <x:v>780</x:v>
      </x:c>
      <x:c r="G13" s="11"/>
      <x:c r="H13" s="11"/>
      <x:c r="I13" s="11"/>
      <x:c r="J13" s="11"/>
      <x:c r="K13" s="11"/>
      <x:c r="L13" s="11"/>
      <x:c r="M13" s="11"/>
      <x:c r="N13" s="11"/>
      <x:c r="O13" s="11"/>
      <x:c r="P13" s="11"/>
      <x:c r="Q13" s="11"/>
      <x:c r="R13" s="11"/>
      <x:c r="S13" s="11"/>
      <x:c r="T13" s="11"/>
      <x:c r="U13" s="11"/>
      <x:c r="V13" s="11"/>
      <x:c r="W13" s="11"/>
      <x:c r="X13" s="11"/>
      <x:c r="Y13" s="11"/>
      <x:c r="Z13" s="11"/>
    </x:row>
    <x:row r="14">
      <x:c r="A14" s="30" t="str">
        <x:v>Pilot và vận hành địa bàn</x:v>
      </x:c>
      <x:c r="B14" s="36" t="n">
        <x:v>225</x:v>
      </x:c>
      <x:c r="C14" s="36" t="n">
        <x:v>210</x:v>
      </x:c>
      <x:c r="D14" s="36" t="n">
        <x:v>300</x:v>
      </x:c>
      <x:c r="E14" s="36" t="n">
        <x:v>480</x:v>
      </x:c>
      <x:c r="F14" s="36" t="n">
        <x:v>720</x:v>
      </x:c>
      <x:c r="G14" s="11"/>
      <x:c r="H14" s="11"/>
      <x:c r="I14" s="11"/>
      <x:c r="J14" s="11"/>
      <x:c r="K14" s="11"/>
      <x:c r="L14" s="11"/>
      <x:c r="M14" s="11"/>
      <x:c r="N14" s="11"/>
      <x:c r="O14" s="11"/>
      <x:c r="P14" s="11"/>
      <x:c r="Q14" s="11"/>
      <x:c r="R14" s="11"/>
      <x:c r="S14" s="11"/>
      <x:c r="T14" s="11"/>
      <x:c r="U14" s="11"/>
      <x:c r="V14" s="11"/>
      <x:c r="W14" s="11"/>
      <x:c r="X14" s="11"/>
      <x:c r="Y14" s="11"/>
      <x:c r="Z14" s="11"/>
    </x:row>
    <x:row r="15">
      <x:c r="A15" s="30" t="str">
        <x:v>Bán hàng và marketing</x:v>
      </x:c>
      <x:c r="B15" s="36" t="n">
        <x:v>90</x:v>
      </x:c>
      <x:c r="C15" s="36" t="n">
        <x:v>120</x:v>
      </x:c>
      <x:c r="D15" s="36" t="n">
        <x:v>240</x:v>
      </x:c>
      <x:c r="E15" s="36" t="n">
        <x:v>420</x:v>
      </x:c>
      <x:c r="F15" s="36" t="n">
        <x:v>660</x:v>
      </x:c>
      <x:c r="G15" s="11"/>
      <x:c r="H15" s="11"/>
      <x:c r="I15" s="11"/>
      <x:c r="J15" s="11"/>
      <x:c r="K15" s="11"/>
      <x:c r="L15" s="11"/>
      <x:c r="M15" s="11"/>
      <x:c r="N15" s="11"/>
      <x:c r="O15" s="11"/>
      <x:c r="P15" s="11"/>
      <x:c r="Q15" s="11"/>
      <x:c r="R15" s="11"/>
      <x:c r="S15" s="11"/>
      <x:c r="T15" s="11"/>
      <x:c r="U15" s="11"/>
      <x:c r="V15" s="11"/>
      <x:c r="W15" s="11"/>
      <x:c r="X15" s="11"/>
      <x:c r="Y15" s="11"/>
      <x:c r="Z15" s="11"/>
    </x:row>
    <x:row r="16">
      <x:c r="A16" s="30" t="str">
        <x:v>Pháp lý và hành chính</x:v>
      </x:c>
      <x:c r="B16" s="36" t="n">
        <x:v>84</x:v>
      </x:c>
      <x:c r="C16" s="36" t="n">
        <x:v>150</x:v>
      </x:c>
      <x:c r="D16" s="36" t="n">
        <x:v>210</x:v>
      </x:c>
      <x:c r="E16" s="36" t="n">
        <x:v>270</x:v>
      </x:c>
      <x:c r="F16" s="36" t="n">
        <x:v>390</x:v>
      </x:c>
      <x:c r="G16" s="11"/>
      <x:c r="H16" s="11"/>
      <x:c r="I16" s="11"/>
      <x:c r="J16" s="11"/>
      <x:c r="K16" s="11"/>
      <x:c r="L16" s="11"/>
      <x:c r="M16" s="11"/>
      <x:c r="N16" s="11"/>
      <x:c r="O16" s="11"/>
      <x:c r="P16" s="11"/>
      <x:c r="Q16" s="11"/>
      <x:c r="R16" s="11"/>
      <x:c r="S16" s="11"/>
      <x:c r="T16" s="11"/>
      <x:c r="U16" s="11"/>
      <x:c r="V16" s="11"/>
      <x:c r="W16" s="11"/>
      <x:c r="X16" s="11"/>
      <x:c r="Y16" s="11"/>
      <x:c r="Z16" s="11"/>
    </x:row>
    <x:row r="17">
      <x:c r="A17" s="89" t="str">
        <x:v>Tổng chi phí vận hành</x:v>
      </x:c>
      <x:c r="B17" s="90" t="n">
        <x:f>SUM(B12:B16)</x:f>
        <x:v>1119</x:v>
      </x:c>
      <x:c r="C17" s="90" t="n">
        <x:f>SUM(C12:C16)</x:f>
        <x:v>1500</x:v>
      </x:c>
      <x:c r="D17" s="90" t="n">
        <x:f>SUM(D12:D16)</x:f>
        <x:v>2250</x:v>
      </x:c>
      <x:c r="E17" s="90" t="n">
        <x:f>SUM(E12:E16)</x:f>
        <x:v>3450</x:v>
      </x:c>
      <x:c r="F17" s="90" t="n">
        <x:f>SUM(F12:F16)</x:f>
        <x:v>5250</x:v>
      </x:c>
      <x:c r="G17" s="11"/>
      <x:c r="H17" s="11"/>
      <x:c r="I17" s="11"/>
      <x:c r="J17" s="11"/>
      <x:c r="K17" s="11"/>
      <x:c r="L17" s="11"/>
      <x:c r="M17" s="11"/>
      <x:c r="N17" s="11"/>
      <x:c r="O17" s="11"/>
      <x:c r="P17" s="11"/>
      <x:c r="Q17" s="11"/>
      <x:c r="R17" s="11"/>
      <x:c r="S17" s="11"/>
      <x:c r="T17" s="11"/>
      <x:c r="U17" s="11"/>
      <x:c r="V17" s="11"/>
      <x:c r="W17" s="11"/>
      <x:c r="X17" s="11"/>
      <x:c r="Y17" s="11"/>
      <x:c r="Z17" s="11"/>
    </x:row>
    <x:row r="18">
      <x:c r="A18" s="11"/>
      <x:c r="B18" s="11"/>
      <x:c r="C18" s="11"/>
      <x:c r="D18" s="11"/>
      <x:c r="E18" s="11"/>
      <x:c r="F18" s="11"/>
      <x:c r="G18" s="11"/>
      <x:c r="H18" s="11"/>
      <x:c r="I18" s="11"/>
      <x:c r="J18" s="11"/>
      <x:c r="K18" s="11"/>
      <x:c r="L18" s="11"/>
      <x:c r="M18" s="11"/>
      <x:c r="N18" s="11"/>
      <x:c r="O18" s="11"/>
      <x:c r="P18" s="11"/>
      <x:c r="Q18" s="11"/>
      <x:c r="R18" s="11"/>
      <x:c r="S18" s="11"/>
      <x:c r="T18" s="11"/>
      <x:c r="U18" s="11"/>
      <x:c r="V18" s="11"/>
      <x:c r="W18" s="11"/>
      <x:c r="X18" s="11"/>
      <x:c r="Y18" s="11"/>
      <x:c r="Z18" s="11"/>
    </x:row>
    <x:row r="19" ht="22" customHeight="1">
      <x:c r="A19" s="25" t="str">
        <x:v>Đầu tư và thuế</x:v>
      </x:c>
      <x:c r="B19" s="26" t="str">
        <x:v>Đầu tư và thuế</x:v>
      </x:c>
      <x:c r="C19" s="26" t="str">
        <x:v>Đầu tư và thuế</x:v>
      </x:c>
      <x:c r="D19" s="26" t="str">
        <x:v>Đầu tư và thuế</x:v>
      </x:c>
      <x:c r="E19" s="26" t="str">
        <x:v>Đầu tư và thuế</x:v>
      </x:c>
      <x:c r="F19" s="27" t="str">
        <x:v>Đầu tư và thuế</x:v>
      </x:c>
      <x:c r="G19" s="11"/>
      <x:c r="H19" s="11"/>
      <x:c r="I19" s="11"/>
      <x:c r="J19" s="11"/>
      <x:c r="K19" s="11"/>
      <x:c r="L19" s="11"/>
      <x:c r="M19" s="11"/>
      <x:c r="N19" s="11"/>
      <x:c r="O19" s="11"/>
      <x:c r="P19" s="11"/>
      <x:c r="Q19" s="11"/>
      <x:c r="R19" s="11"/>
      <x:c r="S19" s="11"/>
      <x:c r="T19" s="11"/>
      <x:c r="U19" s="11"/>
      <x:c r="V19" s="11"/>
      <x:c r="W19" s="11"/>
      <x:c r="X19" s="11"/>
      <x:c r="Y19" s="11"/>
      <x:c r="Z19" s="11"/>
    </x:row>
    <x:row r="20">
      <x:c r="A20" s="29" t="str">
        <x:v>Đầu tư sản phẩm và thiết bị (Capex)</x:v>
      </x:c>
      <x:c r="B20" s="35" t="n">
        <x:v>340</x:v>
      </x:c>
      <x:c r="C20" s="35" t="n">
        <x:v>150</x:v>
      </x:c>
      <x:c r="D20" s="35" t="n">
        <x:v>180</x:v>
      </x:c>
      <x:c r="E20" s="35" t="n">
        <x:v>250</x:v>
      </x:c>
      <x:c r="F20" s="35" t="n">
        <x:v>350</x:v>
      </x:c>
      <x:c r="G20" s="11"/>
      <x:c r="H20" s="11"/>
      <x:c r="I20" s="11"/>
      <x:c r="J20" s="11"/>
      <x:c r="K20" s="11"/>
      <x:c r="L20" s="11"/>
      <x:c r="M20" s="11"/>
      <x:c r="N20" s="11"/>
      <x:c r="O20" s="11"/>
      <x:c r="P20" s="11"/>
      <x:c r="Q20" s="11"/>
      <x:c r="R20" s="11"/>
      <x:c r="S20" s="11"/>
      <x:c r="T20" s="11"/>
      <x:c r="U20" s="11"/>
      <x:c r="V20" s="11"/>
      <x:c r="W20" s="11"/>
      <x:c r="X20" s="11"/>
      <x:c r="Y20" s="11"/>
      <x:c r="Z20" s="11"/>
    </x:row>
    <x:row r="21">
      <x:c r="A21" s="30" t="str">
        <x:v>Thời gian khấu hao</x:v>
      </x:c>
      <x:c r="B21" s="40" t="n">
        <x:v>5</x:v>
      </x:c>
      <x:c r="C21" s="40" t="n">
        <x:v>5</x:v>
      </x:c>
      <x:c r="D21" s="40" t="n">
        <x:v>5</x:v>
      </x:c>
      <x:c r="E21" s="40" t="n">
        <x:v>5</x:v>
      </x:c>
      <x:c r="F21" s="40" t="n">
        <x:v>5</x:v>
      </x:c>
      <x:c r="G21" s="11"/>
      <x:c r="H21" s="11"/>
      <x:c r="I21" s="11"/>
      <x:c r="J21" s="11"/>
      <x:c r="K21" s="11"/>
      <x:c r="L21" s="11"/>
      <x:c r="M21" s="11"/>
      <x:c r="N21" s="11"/>
      <x:c r="O21" s="11"/>
      <x:c r="P21" s="11"/>
      <x:c r="Q21" s="11"/>
      <x:c r="R21" s="11"/>
      <x:c r="S21" s="11"/>
      <x:c r="T21" s="11"/>
      <x:c r="U21" s="11"/>
      <x:c r="V21" s="11"/>
      <x:c r="W21" s="11"/>
      <x:c r="X21" s="11"/>
      <x:c r="Y21" s="11"/>
      <x:c r="Z21" s="11"/>
    </x:row>
    <x:row r="22">
      <x:c r="A22" s="30" t="str">
        <x:v>Thuế TNDN</x:v>
      </x:c>
      <x:c r="B22" s="41" t="n">
        <x:v>0.2</x:v>
      </x:c>
      <x:c r="C22" s="41" t="n">
        <x:v>0.2</x:v>
      </x:c>
      <x:c r="D22" s="41" t="n">
        <x:v>0.2</x:v>
      </x:c>
      <x:c r="E22" s="41" t="n">
        <x:v>0.2</x:v>
      </x:c>
      <x:c r="F22" s="41" t="n">
        <x:v>0.2</x:v>
      </x:c>
      <x:c r="G22" s="11"/>
      <x:c r="H22" s="11"/>
      <x:c r="I22" s="11"/>
      <x:c r="J22" s="11"/>
      <x:c r="K22" s="11"/>
      <x:c r="L22" s="11"/>
      <x:c r="M22" s="11"/>
      <x:c r="N22" s="11"/>
      <x:c r="O22" s="11"/>
      <x:c r="P22" s="11"/>
      <x:c r="Q22" s="11"/>
      <x:c r="R22" s="11"/>
      <x:c r="S22" s="11"/>
      <x:c r="T22" s="11"/>
      <x:c r="U22" s="11"/>
      <x:c r="V22" s="11"/>
      <x:c r="W22" s="11"/>
      <x:c r="X22" s="11"/>
      <x:c r="Y22" s="11"/>
      <x:c r="Z22" s="11"/>
    </x:row>
    <x:row r="23">
      <x:c r="A23" s="30" t="str">
        <x:v>Nợ ngân hàng mới</x:v>
      </x:c>
      <x:c r="B23" s="36" t="n">
        <x:v>0</x:v>
      </x:c>
      <x:c r="C23" s="36" t="n">
        <x:v>0</x:v>
      </x:c>
      <x:c r="D23" s="36" t="n">
        <x:v>0</x:v>
      </x:c>
      <x:c r="E23" s="36" t="n">
        <x:v>0</x:v>
      </x:c>
      <x:c r="F23" s="36" t="n">
        <x:v>0</x:v>
      </x:c>
      <x:c r="G23" s="11"/>
      <x:c r="H23" s="11"/>
      <x:c r="I23" s="11"/>
      <x:c r="J23" s="11"/>
      <x:c r="K23" s="11"/>
      <x:c r="L23" s="11"/>
      <x:c r="M23" s="11"/>
      <x:c r="N23" s="11"/>
      <x:c r="O23" s="11"/>
      <x:c r="P23" s="11"/>
      <x:c r="Q23" s="11"/>
      <x:c r="R23" s="11"/>
      <x:c r="S23" s="11"/>
      <x:c r="T23" s="11"/>
      <x:c r="U23" s="11"/>
      <x:c r="V23" s="11"/>
      <x:c r="W23" s="11"/>
      <x:c r="X23" s="11"/>
      <x:c r="Y23" s="11"/>
      <x:c r="Z23" s="11"/>
    </x:row>
    <x:row r="24">
      <x:c r="A24" s="11"/>
      <x:c r="B24" s="11"/>
      <x:c r="C24" s="11"/>
      <x:c r="D24" s="11"/>
      <x:c r="E24" s="11"/>
      <x:c r="F24" s="11"/>
      <x:c r="G24" s="11"/>
      <x:c r="H24" s="11"/>
      <x:c r="I24" s="11"/>
      <x:c r="J24" s="11"/>
      <x:c r="K24" s="11"/>
      <x:c r="L24" s="11"/>
      <x:c r="M24" s="11"/>
      <x:c r="N24" s="11"/>
      <x:c r="O24" s="11"/>
      <x:c r="P24" s="11"/>
      <x:c r="Q24" s="11"/>
      <x:c r="R24" s="11"/>
      <x:c r="S24" s="11"/>
      <x:c r="T24" s="11"/>
      <x:c r="U24" s="11"/>
      <x:c r="V24" s="11"/>
      <x:c r="W24" s="11"/>
      <x:c r="X24" s="11"/>
      <x:c r="Y24" s="11"/>
      <x:c r="Z24" s="11"/>
    </x:row>
    <x:row r="25" ht="22" customHeight="1">
      <x:c r="A25" s="25" t="str">
        <x:v>Nguyên tắc sử dụng</x:v>
      </x:c>
      <x:c r="B25" s="26" t="str">
        <x:v>Nguyên tắc sử dụng</x:v>
      </x:c>
      <x:c r="C25" s="26" t="str">
        <x:v>Nguyên tắc sử dụng</x:v>
      </x:c>
      <x:c r="D25" s="26" t="str">
        <x:v>Nguyên tắc sử dụng</x:v>
      </x:c>
      <x:c r="E25" s="26" t="str">
        <x:v>Nguyên tắc sử dụng</x:v>
      </x:c>
      <x:c r="F25" s="27" t="str">
        <x:v>Nguyên tắc sử dụng</x:v>
      </x:c>
      <x:c r="G25" s="11"/>
      <x:c r="H25" s="11"/>
      <x:c r="I25" s="11"/>
      <x:c r="J25" s="11"/>
      <x:c r="K25" s="11"/>
      <x:c r="L25" s="11"/>
      <x:c r="M25" s="11"/>
      <x:c r="N25" s="11"/>
      <x:c r="O25" s="11"/>
      <x:c r="P25" s="11"/>
      <x:c r="Q25" s="11"/>
      <x:c r="R25" s="11"/>
      <x:c r="S25" s="11"/>
      <x:c r="T25" s="11"/>
      <x:c r="U25" s="11"/>
      <x:c r="V25" s="11"/>
      <x:c r="W25" s="11"/>
      <x:c r="X25" s="11"/>
      <x:c r="Y25" s="11"/>
      <x:c r="Z25" s="11"/>
    </x:row>
    <x:row r="26">
      <x:c r="A26"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B26"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C26"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D26"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E26"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F26"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G26" s="11"/>
      <x:c r="H26" s="11"/>
      <x:c r="I26" s="11"/>
      <x:c r="J26" s="11"/>
      <x:c r="K26" s="11"/>
      <x:c r="L26" s="11"/>
      <x:c r="M26" s="11"/>
      <x:c r="N26" s="11"/>
      <x:c r="O26" s="11"/>
      <x:c r="P26" s="11"/>
      <x:c r="Q26" s="11"/>
      <x:c r="R26" s="11"/>
      <x:c r="S26" s="11"/>
      <x:c r="T26" s="11"/>
      <x:c r="U26" s="11"/>
      <x:c r="V26" s="11"/>
      <x:c r="W26" s="11"/>
      <x:c r="X26" s="11"/>
      <x:c r="Y26" s="11"/>
      <x:c r="Z26" s="11"/>
    </x:row>
    <x:row r="27">
      <x:c r="A27"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B27"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C27"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D27"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E27"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F27"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G27" s="11"/>
      <x:c r="H27" s="11"/>
      <x:c r="I27" s="11"/>
      <x:c r="J27" s="11"/>
      <x:c r="K27" s="11"/>
      <x:c r="L27" s="11"/>
      <x:c r="M27" s="11"/>
      <x:c r="N27" s="11"/>
      <x:c r="O27" s="11"/>
      <x:c r="P27" s="11"/>
      <x:c r="Q27" s="11"/>
      <x:c r="R27" s="11"/>
      <x:c r="S27" s="11"/>
      <x:c r="T27" s="11"/>
      <x:c r="U27" s="11"/>
      <x:c r="V27" s="11"/>
      <x:c r="W27" s="11"/>
      <x:c r="X27" s="11"/>
      <x:c r="Y27" s="11"/>
      <x:c r="Z27" s="11"/>
    </x:row>
    <x:row r="28">
      <x:c r="A28"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B28"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C28"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D28"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E28"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F28"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G28" s="11"/>
      <x:c r="H28" s="11"/>
      <x:c r="I28" s="11"/>
      <x:c r="J28" s="11"/>
      <x:c r="K28" s="11"/>
      <x:c r="L28" s="11"/>
      <x:c r="M28" s="11"/>
      <x:c r="N28" s="11"/>
      <x:c r="O28" s="11"/>
      <x:c r="P28" s="11"/>
      <x:c r="Q28" s="11"/>
      <x:c r="R28" s="11"/>
      <x:c r="S28" s="11"/>
      <x:c r="T28" s="11"/>
      <x:c r="U28" s="11"/>
      <x:c r="V28" s="11"/>
      <x:c r="W28" s="11"/>
      <x:c r="X28" s="11"/>
      <x:c r="Y28" s="11"/>
      <x:c r="Z28" s="11"/>
    </x:row>
    <x:row r="29">
      <x:c r="A29"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B29"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C29"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D29"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E29"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F29"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G29" s="11"/>
      <x:c r="H29" s="11"/>
      <x:c r="I29" s="11"/>
      <x:c r="J29" s="11"/>
      <x:c r="K29" s="11"/>
      <x:c r="L29" s="11"/>
      <x:c r="M29" s="11"/>
      <x:c r="N29" s="11"/>
      <x:c r="O29" s="11"/>
      <x:c r="P29" s="11"/>
      <x:c r="Q29" s="11"/>
      <x:c r="R29" s="11"/>
      <x:c r="S29" s="11"/>
      <x:c r="T29" s="11"/>
      <x:c r="U29" s="11"/>
      <x:c r="V29" s="11"/>
      <x:c r="W29" s="11"/>
      <x:c r="X29" s="11"/>
      <x:c r="Y29" s="11"/>
      <x:c r="Z29" s="11"/>
    </x:row>
    <x:row r="30">
      <x:c r="A30"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B30"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C30"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D30"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E30"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F30" s="77" t="str">
        <x:v>Các số liệu từ Năm 1 trở đi là kế hoạch có điều kiện, không phải số thực tế đã phát sinh. Mỗi tranche chỉ được giải ngân khi đạt mốc pilot hoặc thương mại. Mô hình không ghi nhận doanh thu bảo hiểm, không sử dụng nợ ngân hàng trong 24 tháng đầu và không dùng NPV/IRR làm luận điểm chính trước khi có product-market fit.</x:v>
      </x:c>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sheetData>
  <x:mergeCells>
    <x:mergeCell ref="A2:I2"/>
    <x:mergeCell ref="A26:F30"/>
  </x:mergeCells>
  <x:pageMargins left="0.7" right="0.7" top="0.75" bottom="0.75" header="0.3" footer="0.3"/>
</x:worksheet>
</file>

<file path=xl/worksheets/sheet4.xml><?xml version="1.0" encoding="utf-8"?>
<x:worksheet xmlns:x="http://schemas.openxmlformats.org/spreadsheetml/2006/main">
  <x:sheetPr>
    <x:tabColor rgb="FF70AD47"/>
  </x:sheetPr>
  <x:sheetViews>
    <x:sheetView showGridLines="0" workbookViewId="0">
      <x:pane ySplit="4" topLeftCell="A5" activePane="bottomLeft" state="frozen"/>
    </x:sheetView>
  </x:sheetViews>
  <x:sheetFormatPr defaultRowHeight="15"/>
  <x:cols>
    <x:col min="1" max="1" width="39" hidden="0" customWidth="1"/>
    <x:col min="2" max="2" width="14" hidden="0" customWidth="1"/>
    <x:col min="3" max="3" width="14" hidden="0" customWidth="1"/>
    <x:col min="4" max="4" width="14" hidden="0" customWidth="1"/>
    <x:col min="5" max="5" width="14" hidden="0" customWidth="1"/>
    <x:col min="6" max="6" width="14" hidden="0" customWidth="1"/>
  </x:cols>
  <x:sheetData>
    <x:row r="1">
      <x:c r="A1" s="11"/>
      <x:c r="B1" s="11"/>
      <x:c r="C1" s="11"/>
      <x:c r="D1" s="11"/>
      <x:c r="E1" s="11"/>
      <x:c r="F1" s="11"/>
      <x:c r="G1" s="11"/>
      <x:c r="H1" s="11"/>
      <x:c r="I1" s="11"/>
      <x:c r="J1" s="11"/>
      <x:c r="K1" s="11"/>
      <x:c r="L1" s="11"/>
      <x:c r="M1" s="11"/>
      <x:c r="N1" s="11"/>
      <x:c r="O1" s="11"/>
      <x:c r="P1" s="11"/>
      <x:c r="Q1" s="11"/>
      <x:c r="R1" s="11"/>
      <x:c r="S1" s="11"/>
      <x:c r="T1" s="11"/>
      <x:c r="U1" s="11"/>
      <x:c r="V1" s="11"/>
      <x:c r="W1" s="11"/>
      <x:c r="X1" s="11"/>
      <x:c r="Y1" s="11"/>
      <x:c r="Z1" s="11"/>
    </x:row>
    <x:row r="2" ht="26" customHeight="1">
      <x:c r="A2" s="3" t="str">
        <x:v>Mô hình tài chính 5 năm</x:v>
      </x:c>
      <x:c r="B2" s="3" t="str">
        <x:v>Mô hình tài chính 5 năm</x:v>
      </x:c>
      <x:c r="C2" s="3" t="str">
        <x:v>Mô hình tài chính 5 năm</x:v>
      </x:c>
      <x:c r="D2" s="3" t="str">
        <x:v>Mô hình tài chính 5 năm</x:v>
      </x:c>
      <x:c r="E2" s="3" t="str">
        <x:v>Mô hình tài chính 5 năm</x:v>
      </x:c>
      <x:c r="F2" s="3" t="str">
        <x:v>Mô hình tài chính 5 năm</x:v>
      </x:c>
      <x:c r="G2" s="11"/>
      <x:c r="H2" s="11"/>
      <x:c r="I2" s="11"/>
      <x:c r="J2" s="11"/>
      <x:c r="K2" s="11"/>
      <x:c r="L2" s="11"/>
      <x:c r="M2" s="11"/>
      <x:c r="N2" s="11"/>
      <x:c r="O2" s="11"/>
      <x:c r="P2" s="11"/>
      <x:c r="Q2" s="11"/>
      <x:c r="R2" s="11"/>
      <x:c r="S2" s="11"/>
      <x:c r="T2" s="11"/>
      <x:c r="U2" s="11"/>
      <x:c r="V2" s="11"/>
      <x:c r="W2" s="11"/>
      <x:c r="X2" s="11"/>
      <x:c r="Y2" s="11"/>
      <x:c r="Z2" s="11"/>
    </x:row>
    <x:row r="3">
      <x:c r="A3" s="87"/>
      <x:c r="B3" s="87"/>
      <x:c r="C3" s="87"/>
      <x:c r="D3" s="87"/>
      <x:c r="E3" s="87"/>
      <x:c r="F3" s="87"/>
      <x:c r="G3" s="11"/>
      <x:c r="H3" s="11"/>
      <x:c r="I3" s="11"/>
      <x:c r="J3" s="11"/>
      <x:c r="K3" s="11"/>
      <x:c r="L3" s="11"/>
      <x:c r="M3" s="11"/>
      <x:c r="N3" s="11"/>
      <x:c r="O3" s="11"/>
      <x:c r="P3" s="11"/>
      <x:c r="Q3" s="11"/>
      <x:c r="R3" s="11"/>
      <x:c r="S3" s="11"/>
      <x:c r="T3" s="11"/>
      <x:c r="U3" s="11"/>
      <x:c r="V3" s="11"/>
      <x:c r="W3" s="11"/>
      <x:c r="X3" s="11"/>
      <x:c r="Y3" s="11"/>
      <x:c r="Z3" s="11"/>
    </x:row>
    <x:row r="4">
      <x:c r="A4" s="10" t="str">
        <x:v>Chỉ tiêu (triệu đồng)</x:v>
      </x:c>
      <x:c r="B4" s="10" t="str">
        <x:v>Năm 1</x:v>
      </x:c>
      <x:c r="C4" s="10" t="str">
        <x:v>Năm 2</x:v>
      </x:c>
      <x:c r="D4" s="10" t="str">
        <x:v>Năm 3</x:v>
      </x:c>
      <x:c r="E4" s="10" t="str">
        <x:v>Năm 4</x:v>
      </x:c>
      <x:c r="F4" s="10" t="str">
        <x:v>Năm 5</x:v>
      </x:c>
      <x:c r="G4" s="11"/>
      <x:c r="H4" s="11"/>
      <x:c r="I4" s="11"/>
      <x:c r="J4" s="11"/>
      <x:c r="K4" s="11"/>
      <x:c r="L4" s="11"/>
      <x:c r="M4" s="11"/>
      <x:c r="N4" s="11"/>
      <x:c r="O4" s="11"/>
      <x:c r="P4" s="11"/>
      <x:c r="Q4" s="11"/>
      <x:c r="R4" s="11"/>
      <x:c r="S4" s="11"/>
      <x:c r="T4" s="11"/>
      <x:c r="U4" s="11"/>
      <x:c r="V4" s="11"/>
      <x:c r="W4" s="11"/>
      <x:c r="X4" s="11"/>
      <x:c r="Y4" s="11"/>
      <x:c r="Z4" s="11"/>
    </x:row>
    <x:row r="5">
      <x:c r="A5" s="29" t="str">
        <x:v>Doanh nghiệp trả phí bình quân</x:v>
      </x:c>
      <x:c r="B5" s="49" t="n">
        <x:f>'Giả định'!B5</x:f>
        <x:v>1.5</x:v>
      </x:c>
      <x:c r="C5" s="49" t="n">
        <x:f>'Giả định'!C5</x:f>
        <x:v>8</x:v>
      </x:c>
      <x:c r="D5" s="49" t="n">
        <x:f>'Giả định'!D5</x:f>
        <x:v>18</x:v>
      </x:c>
      <x:c r="E5" s="49" t="n">
        <x:f>'Giả định'!E5</x:f>
        <x:v>35</x:v>
      </x:c>
      <x:c r="F5" s="49" t="n">
        <x:f>'Giả định'!F5</x:f>
        <x:v>60</x:v>
      </x:c>
      <x:c r="G5" s="11"/>
      <x:c r="H5" s="11"/>
      <x:c r="I5" s="11"/>
      <x:c r="J5" s="11"/>
      <x:c r="K5" s="11"/>
      <x:c r="L5" s="11"/>
      <x:c r="M5" s="11"/>
      <x:c r="N5" s="11"/>
      <x:c r="O5" s="11"/>
      <x:c r="P5" s="11"/>
      <x:c r="Q5" s="11"/>
      <x:c r="R5" s="11"/>
      <x:c r="S5" s="11"/>
      <x:c r="T5" s="11"/>
      <x:c r="U5" s="11"/>
      <x:c r="V5" s="11"/>
      <x:c r="W5" s="11"/>
      <x:c r="X5" s="11"/>
      <x:c r="Y5" s="11"/>
      <x:c r="Z5" s="11"/>
    </x:row>
    <x:row r="6">
      <x:c r="A6" s="30" t="str">
        <x:v>Phí nền tảng bình quân</x:v>
      </x:c>
      <x:c r="B6" s="47" t="n">
        <x:f>'Giả định'!B6</x:f>
        <x:v>5</x:v>
      </x:c>
      <x:c r="C6" s="47" t="n">
        <x:f>'Giả định'!C6</x:f>
        <x:v>6.5</x:v>
      </x:c>
      <x:c r="D6" s="47" t="n">
        <x:f>'Giả định'!D6</x:f>
        <x:v>7.5</x:v>
      </x:c>
      <x:c r="E6" s="47" t="n">
        <x:f>'Giả định'!E6</x:f>
        <x:v>8</x:v>
      </x:c>
      <x:c r="F6" s="47" t="n">
        <x:f>'Giả định'!F6</x:f>
        <x:v>8.5</x:v>
      </x:c>
      <x:c r="G6" s="11"/>
      <x:c r="H6" s="11"/>
      <x:c r="I6" s="11"/>
      <x:c r="J6" s="11"/>
      <x:c r="K6" s="11"/>
      <x:c r="L6" s="11"/>
      <x:c r="M6" s="11"/>
      <x:c r="N6" s="11"/>
      <x:c r="O6" s="11"/>
      <x:c r="P6" s="11"/>
      <x:c r="Q6" s="11"/>
      <x:c r="R6" s="11"/>
      <x:c r="S6" s="11"/>
      <x:c r="T6" s="11"/>
      <x:c r="U6" s="11"/>
      <x:c r="V6" s="11"/>
      <x:c r="W6" s="11"/>
      <x:c r="X6" s="11"/>
      <x:c r="Y6" s="11"/>
      <x:c r="Z6" s="11"/>
    </x:row>
    <x:row r="7">
      <x:c r="A7" s="30" t="str">
        <x:v>Doanh thu thuê bao</x:v>
      </x:c>
      <x:c r="B7" s="48" t="n">
        <x:f>B5*B6*12</x:f>
        <x:v>90</x:v>
      </x:c>
      <x:c r="C7" s="48" t="n">
        <x:f>C5*C6*12</x:f>
        <x:v>624</x:v>
      </x:c>
      <x:c r="D7" s="48" t="n">
        <x:f>D5*D6*12</x:f>
        <x:v>1620</x:v>
      </x:c>
      <x:c r="E7" s="48" t="n">
        <x:f>E5*E6*12</x:f>
        <x:v>3360</x:v>
      </x:c>
      <x:c r="F7" s="48" t="n">
        <x:f>F5*F6*12</x:f>
        <x:v>6120</x:v>
      </x:c>
      <x:c r="G7" s="11"/>
      <x:c r="H7" s="11"/>
      <x:c r="I7" s="11"/>
      <x:c r="J7" s="11"/>
      <x:c r="K7" s="11"/>
      <x:c r="L7" s="11"/>
      <x:c r="M7" s="11"/>
      <x:c r="N7" s="11"/>
      <x:c r="O7" s="11"/>
      <x:c r="P7" s="11"/>
      <x:c r="Q7" s="11"/>
      <x:c r="R7" s="11"/>
      <x:c r="S7" s="11"/>
      <x:c r="T7" s="11"/>
      <x:c r="U7" s="11"/>
      <x:c r="V7" s="11"/>
      <x:c r="W7" s="11"/>
      <x:c r="X7" s="11"/>
      <x:c r="Y7" s="11"/>
      <x:c r="Z7" s="11"/>
    </x:row>
    <x:row r="8">
      <x:c r="A8" s="30" t="str">
        <x:v>GMV giao dịch xác thực</x:v>
      </x:c>
      <x:c r="B8" s="48" t="n">
        <x:f>'Giả định'!B7</x:f>
        <x:v>1800</x:v>
      </x:c>
      <x:c r="C8" s="48" t="n">
        <x:f>'Giả định'!C7</x:f>
        <x:v>9900</x:v>
      </x:c>
      <x:c r="D8" s="48" t="n">
        <x:f>'Giả định'!D7</x:f>
        <x:v>22000</x:v>
      </x:c>
      <x:c r="E8" s="48" t="n">
        <x:f>'Giả định'!E7</x:f>
        <x:v>45000</x:v>
      </x:c>
      <x:c r="F8" s="48" t="n">
        <x:f>'Giả định'!F7</x:f>
        <x:v>69500</x:v>
      </x:c>
      <x:c r="G8" s="11"/>
      <x:c r="H8" s="11"/>
      <x:c r="I8" s="11"/>
      <x:c r="J8" s="11"/>
      <x:c r="K8" s="11"/>
      <x:c r="L8" s="11"/>
      <x:c r="M8" s="11"/>
      <x:c r="N8" s="11"/>
      <x:c r="O8" s="11"/>
      <x:c r="P8" s="11"/>
      <x:c r="Q8" s="11"/>
      <x:c r="R8" s="11"/>
      <x:c r="S8" s="11"/>
      <x:c r="T8" s="11"/>
      <x:c r="U8" s="11"/>
      <x:c r="V8" s="11"/>
      <x:c r="W8" s="11"/>
      <x:c r="X8" s="11"/>
      <x:c r="Y8" s="11"/>
      <x:c r="Z8" s="11"/>
    </x:row>
    <x:row r="9">
      <x:c r="A9" s="30" t="str">
        <x:v>Tỷ lệ phí giao dịch</x:v>
      </x:c>
      <x:c r="B9" s="50" t="n">
        <x:f>'Giả định'!B8</x:f>
        <x:v>0.04</x:v>
      </x:c>
      <x:c r="C9" s="50" t="n">
        <x:f>'Giả định'!C8</x:f>
        <x:v>0.04</x:v>
      </x:c>
      <x:c r="D9" s="50" t="n">
        <x:f>'Giả định'!D8</x:f>
        <x:v>0.04</x:v>
      </x:c>
      <x:c r="E9" s="50" t="n">
        <x:f>'Giả định'!E8</x:f>
        <x:v>0.04</x:v>
      </x:c>
      <x:c r="F9" s="50" t="n">
        <x:f>'Giả định'!F8</x:f>
        <x:v>0.04</x:v>
      </x:c>
      <x:c r="G9" s="11"/>
      <x:c r="H9" s="11"/>
      <x:c r="I9" s="11"/>
      <x:c r="J9" s="11"/>
      <x:c r="K9" s="11"/>
      <x:c r="L9" s="11"/>
      <x:c r="M9" s="11"/>
      <x:c r="N9" s="11"/>
      <x:c r="O9" s="11"/>
      <x:c r="P9" s="11"/>
      <x:c r="Q9" s="11"/>
      <x:c r="R9" s="11"/>
      <x:c r="S9" s="11"/>
      <x:c r="T9" s="11"/>
      <x:c r="U9" s="11"/>
      <x:c r="V9" s="11"/>
      <x:c r="W9" s="11"/>
      <x:c r="X9" s="11"/>
      <x:c r="Y9" s="11"/>
      <x:c r="Z9" s="11"/>
    </x:row>
    <x:row r="10">
      <x:c r="A10" s="30" t="str">
        <x:v>Doanh thu phí giao dịch</x:v>
      </x:c>
      <x:c r="B10" s="48" t="n">
        <x:f>B8*B9</x:f>
        <x:v>72</x:v>
      </x:c>
      <x:c r="C10" s="48" t="n">
        <x:f>C8*C9</x:f>
        <x:v>396</x:v>
      </x:c>
      <x:c r="D10" s="48" t="n">
        <x:f>D8*D9</x:f>
        <x:v>880</x:v>
      </x:c>
      <x:c r="E10" s="48" t="n">
        <x:f>E8*E9</x:f>
        <x:v>1800</x:v>
      </x:c>
      <x:c r="F10" s="48" t="n">
        <x:f>F8*F9</x:f>
        <x:v>2780</x:v>
      </x:c>
      <x:c r="G10" s="11"/>
      <x:c r="H10" s="11"/>
      <x:c r="I10" s="11"/>
      <x:c r="J10" s="11"/>
      <x:c r="K10" s="11"/>
      <x:c r="L10" s="11"/>
      <x:c r="M10" s="11"/>
      <x:c r="N10" s="11"/>
      <x:c r="O10" s="11"/>
      <x:c r="P10" s="11"/>
      <x:c r="Q10" s="11"/>
      <x:c r="R10" s="11"/>
      <x:c r="S10" s="11"/>
      <x:c r="T10" s="11"/>
      <x:c r="U10" s="11"/>
      <x:c r="V10" s="11"/>
      <x:c r="W10" s="11"/>
      <x:c r="X10" s="11"/>
      <x:c r="Y10" s="11"/>
      <x:c r="Z10" s="11"/>
    </x:row>
    <x:row r="11">
      <x:c r="A11" s="30" t="str">
        <x:v>Doanh thu pilot, onboarding và dữ liệu</x:v>
      </x:c>
      <x:c r="B11" s="48" t="n">
        <x:f>'Giả định'!B9</x:f>
        <x:v>70</x:v>
      </x:c>
      <x:c r="C11" s="48" t="n">
        <x:f>'Giả định'!C9</x:f>
        <x:v>180</x:v>
      </x:c>
      <x:c r="D11" s="48" t="n">
        <x:f>'Giả định'!D9</x:f>
        <x:v>300</x:v>
      </x:c>
      <x:c r="E11" s="48" t="n">
        <x:f>'Giả định'!E9</x:f>
        <x:v>440</x:v>
      </x:c>
      <x:c r="F11" s="48" t="n">
        <x:f>'Giả định'!F9</x:f>
        <x:v>600</x:v>
      </x:c>
      <x:c r="G11" s="11"/>
      <x:c r="H11" s="11"/>
      <x:c r="I11" s="11"/>
      <x:c r="J11" s="11"/>
      <x:c r="K11" s="11"/>
      <x:c r="L11" s="11"/>
      <x:c r="M11" s="11"/>
      <x:c r="N11" s="11"/>
      <x:c r="O11" s="11"/>
      <x:c r="P11" s="11"/>
      <x:c r="Q11" s="11"/>
      <x:c r="R11" s="11"/>
      <x:c r="S11" s="11"/>
      <x:c r="T11" s="11"/>
      <x:c r="U11" s="11"/>
      <x:c r="V11" s="11"/>
      <x:c r="W11" s="11"/>
      <x:c r="X11" s="11"/>
      <x:c r="Y11" s="11"/>
      <x:c r="Z11" s="11"/>
    </x:row>
    <x:row r="12">
      <x:c r="A12" s="54" t="str">
        <x:v>Tổng doanh thu</x:v>
      </x:c>
      <x:c r="B12" s="55" t="n">
        <x:f>SUM(B7,B10,B11)</x:f>
        <x:v>232</x:v>
      </x:c>
      <x:c r="C12" s="55" t="n">
        <x:f>SUM(C7,C10,C11)</x:f>
        <x:v>1200</x:v>
      </x:c>
      <x:c r="D12" s="55" t="n">
        <x:f>SUM(D7,D10,D11)</x:f>
        <x:v>2800</x:v>
      </x:c>
      <x:c r="E12" s="55" t="n">
        <x:f>SUM(E7,E10,E11)</x:f>
        <x:v>5600</x:v>
      </x:c>
      <x:c r="F12" s="55" t="n">
        <x:f>SUM(F7,F10,F11)</x:f>
        <x:v>9500</x:v>
      </x:c>
      <x:c r="G12" s="11"/>
      <x:c r="H12" s="11"/>
      <x:c r="I12" s="11"/>
      <x:c r="J12" s="11"/>
      <x:c r="K12" s="11"/>
      <x:c r="L12" s="11"/>
      <x:c r="M12" s="11"/>
      <x:c r="N12" s="11"/>
      <x:c r="O12" s="11"/>
      <x:c r="P12" s="11"/>
      <x:c r="Q12" s="11"/>
      <x:c r="R12" s="11"/>
      <x:c r="S12" s="11"/>
      <x:c r="T12" s="11"/>
      <x:c r="U12" s="11"/>
      <x:c r="V12" s="11"/>
      <x:c r="W12" s="11"/>
      <x:c r="X12" s="11"/>
      <x:c r="Y12" s="11"/>
      <x:c r="Z12" s="11"/>
    </x:row>
    <x:row r="13">
      <x:c r="A13" s="30" t="str">
        <x:v>Nhân sự</x:v>
      </x:c>
      <x:c r="B13" s="48" t="n">
        <x:f>'Giả định'!B12</x:f>
        <x:v>600</x:v>
      </x:c>
      <x:c r="C13" s="48" t="n">
        <x:f>'Giả định'!C12</x:f>
        <x:v>840</x:v>
      </x:c>
      <x:c r="D13" s="48" t="n">
        <x:f>'Giả định'!D12</x:f>
        <x:v>1200</x:v>
      </x:c>
      <x:c r="E13" s="48" t="n">
        <x:f>'Giả định'!E12</x:f>
        <x:v>1800</x:v>
      </x:c>
      <x:c r="F13" s="48" t="n">
        <x:f>'Giả định'!F12</x:f>
        <x:v>2700</x:v>
      </x:c>
      <x:c r="G13" s="11"/>
      <x:c r="H13" s="11"/>
      <x:c r="I13" s="11"/>
      <x:c r="J13" s="11"/>
      <x:c r="K13" s="11"/>
      <x:c r="L13" s="11"/>
      <x:c r="M13" s="11"/>
      <x:c r="N13" s="11"/>
      <x:c r="O13" s="11"/>
      <x:c r="P13" s="11"/>
      <x:c r="Q13" s="11"/>
      <x:c r="R13" s="11"/>
      <x:c r="S13" s="11"/>
      <x:c r="T13" s="11"/>
      <x:c r="U13" s="11"/>
      <x:c r="V13" s="11"/>
      <x:c r="W13" s="11"/>
      <x:c r="X13" s="11"/>
      <x:c r="Y13" s="11"/>
      <x:c r="Z13" s="11"/>
    </x:row>
    <x:row r="14">
      <x:c r="A14" s="30" t="str">
        <x:v>Cloud, dữ liệu và bảo mật</x:v>
      </x:c>
      <x:c r="B14" s="48" t="n">
        <x:f>'Giả định'!B13</x:f>
        <x:v>120</x:v>
      </x:c>
      <x:c r="C14" s="48" t="n">
        <x:f>'Giả định'!C13</x:f>
        <x:v>180</x:v>
      </x:c>
      <x:c r="D14" s="48" t="n">
        <x:f>'Giả định'!D13</x:f>
        <x:v>300</x:v>
      </x:c>
      <x:c r="E14" s="48" t="n">
        <x:f>'Giả định'!E13</x:f>
        <x:v>480</x:v>
      </x:c>
      <x:c r="F14" s="48" t="n">
        <x:f>'Giả định'!F13</x:f>
        <x:v>780</x:v>
      </x:c>
      <x:c r="G14" s="11"/>
      <x:c r="H14" s="11"/>
      <x:c r="I14" s="11"/>
      <x:c r="J14" s="11"/>
      <x:c r="K14" s="11"/>
      <x:c r="L14" s="11"/>
      <x:c r="M14" s="11"/>
      <x:c r="N14" s="11"/>
      <x:c r="O14" s="11"/>
      <x:c r="P14" s="11"/>
      <x:c r="Q14" s="11"/>
      <x:c r="R14" s="11"/>
      <x:c r="S14" s="11"/>
      <x:c r="T14" s="11"/>
      <x:c r="U14" s="11"/>
      <x:c r="V14" s="11"/>
      <x:c r="W14" s="11"/>
      <x:c r="X14" s="11"/>
      <x:c r="Y14" s="11"/>
      <x:c r="Z14" s="11"/>
    </x:row>
    <x:row r="15">
      <x:c r="A15" s="30" t="str">
        <x:v>Pilot và vận hành địa bàn</x:v>
      </x:c>
      <x:c r="B15" s="48" t="n">
        <x:f>'Giả định'!B14</x:f>
        <x:v>225</x:v>
      </x:c>
      <x:c r="C15" s="48" t="n">
        <x:f>'Giả định'!C14</x:f>
        <x:v>210</x:v>
      </x:c>
      <x:c r="D15" s="48" t="n">
        <x:f>'Giả định'!D14</x:f>
        <x:v>300</x:v>
      </x:c>
      <x:c r="E15" s="48" t="n">
        <x:f>'Giả định'!E14</x:f>
        <x:v>480</x:v>
      </x:c>
      <x:c r="F15" s="48" t="n">
        <x:f>'Giả định'!F14</x:f>
        <x:v>720</x:v>
      </x:c>
      <x:c r="G15" s="11"/>
      <x:c r="H15" s="11"/>
      <x:c r="I15" s="11"/>
      <x:c r="J15" s="11"/>
      <x:c r="K15" s="11"/>
      <x:c r="L15" s="11"/>
      <x:c r="M15" s="11"/>
      <x:c r="N15" s="11"/>
      <x:c r="O15" s="11"/>
      <x:c r="P15" s="11"/>
      <x:c r="Q15" s="11"/>
      <x:c r="R15" s="11"/>
      <x:c r="S15" s="11"/>
      <x:c r="T15" s="11"/>
      <x:c r="U15" s="11"/>
      <x:c r="V15" s="11"/>
      <x:c r="W15" s="11"/>
      <x:c r="X15" s="11"/>
      <x:c r="Y15" s="11"/>
      <x:c r="Z15" s="11"/>
    </x:row>
    <x:row r="16">
      <x:c r="A16" s="30" t="str">
        <x:v>Bán hàng và marketing</x:v>
      </x:c>
      <x:c r="B16" s="48" t="n">
        <x:f>'Giả định'!B15</x:f>
        <x:v>90</x:v>
      </x:c>
      <x:c r="C16" s="48" t="n">
        <x:f>'Giả định'!C15</x:f>
        <x:v>120</x:v>
      </x:c>
      <x:c r="D16" s="48" t="n">
        <x:f>'Giả định'!D15</x:f>
        <x:v>240</x:v>
      </x:c>
      <x:c r="E16" s="48" t="n">
        <x:f>'Giả định'!E15</x:f>
        <x:v>420</x:v>
      </x:c>
      <x:c r="F16" s="48" t="n">
        <x:f>'Giả định'!F15</x:f>
        <x:v>660</x:v>
      </x:c>
      <x:c r="G16" s="11"/>
      <x:c r="H16" s="11"/>
      <x:c r="I16" s="11"/>
      <x:c r="J16" s="11"/>
      <x:c r="K16" s="11"/>
      <x:c r="L16" s="11"/>
      <x:c r="M16" s="11"/>
      <x:c r="N16" s="11"/>
      <x:c r="O16" s="11"/>
      <x:c r="P16" s="11"/>
      <x:c r="Q16" s="11"/>
      <x:c r="R16" s="11"/>
      <x:c r="S16" s="11"/>
      <x:c r="T16" s="11"/>
      <x:c r="U16" s="11"/>
      <x:c r="V16" s="11"/>
      <x:c r="W16" s="11"/>
      <x:c r="X16" s="11"/>
      <x:c r="Y16" s="11"/>
      <x:c r="Z16" s="11"/>
    </x:row>
    <x:row r="17">
      <x:c r="A17" s="30" t="str">
        <x:v>Pháp lý và hành chính</x:v>
      </x:c>
      <x:c r="B17" s="48" t="n">
        <x:f>'Giả định'!B16</x:f>
        <x:v>84</x:v>
      </x:c>
      <x:c r="C17" s="48" t="n">
        <x:f>'Giả định'!C16</x:f>
        <x:v>150</x:v>
      </x:c>
      <x:c r="D17" s="48" t="n">
        <x:f>'Giả định'!D16</x:f>
        <x:v>210</x:v>
      </x:c>
      <x:c r="E17" s="48" t="n">
        <x:f>'Giả định'!E16</x:f>
        <x:v>270</x:v>
      </x:c>
      <x:c r="F17" s="48" t="n">
        <x:f>'Giả định'!F16</x:f>
        <x:v>390</x:v>
      </x:c>
      <x:c r="G17" s="11"/>
      <x:c r="H17" s="11"/>
      <x:c r="I17" s="11"/>
      <x:c r="J17" s="11"/>
      <x:c r="K17" s="11"/>
      <x:c r="L17" s="11"/>
      <x:c r="M17" s="11"/>
      <x:c r="N17" s="11"/>
      <x:c r="O17" s="11"/>
      <x:c r="P17" s="11"/>
      <x:c r="Q17" s="11"/>
      <x:c r="R17" s="11"/>
      <x:c r="S17" s="11"/>
      <x:c r="T17" s="11"/>
      <x:c r="U17" s="11"/>
      <x:c r="V17" s="11"/>
      <x:c r="W17" s="11"/>
      <x:c r="X17" s="11"/>
      <x:c r="Y17" s="11"/>
      <x:c r="Z17" s="11"/>
    </x:row>
    <x:row r="18">
      <x:c r="A18" s="54" t="str">
        <x:v>Tổng chi phí vận hành</x:v>
      </x:c>
      <x:c r="B18" s="55" t="n">
        <x:f>SUM(B13:B17)</x:f>
        <x:v>1119</x:v>
      </x:c>
      <x:c r="C18" s="55" t="n">
        <x:f>SUM(C13:C17)</x:f>
        <x:v>1500</x:v>
      </x:c>
      <x:c r="D18" s="55" t="n">
        <x:f>SUM(D13:D17)</x:f>
        <x:v>2250</x:v>
      </x:c>
      <x:c r="E18" s="55" t="n">
        <x:f>SUM(E13:E17)</x:f>
        <x:v>3450</x:v>
      </x:c>
      <x:c r="F18" s="55" t="n">
        <x:f>SUM(F13:F17)</x:f>
        <x:v>5250</x:v>
      </x:c>
      <x:c r="G18" s="11"/>
      <x:c r="H18" s="11"/>
      <x:c r="I18" s="11"/>
      <x:c r="J18" s="11"/>
      <x:c r="K18" s="11"/>
      <x:c r="L18" s="11"/>
      <x:c r="M18" s="11"/>
      <x:c r="N18" s="11"/>
      <x:c r="O18" s="11"/>
      <x:c r="P18" s="11"/>
      <x:c r="Q18" s="11"/>
      <x:c r="R18" s="11"/>
      <x:c r="S18" s="11"/>
      <x:c r="T18" s="11"/>
      <x:c r="U18" s="11"/>
      <x:c r="V18" s="11"/>
      <x:c r="W18" s="11"/>
      <x:c r="X18" s="11"/>
      <x:c r="Y18" s="11"/>
      <x:c r="Z18" s="11"/>
    </x:row>
    <x:row r="19">
      <x:c r="A19" s="51" t="str">
        <x:v>EBITDA</x:v>
      </x:c>
      <x:c r="B19" s="52" t="n">
        <x:f>B12-B18</x:f>
        <x:v>-887</x:v>
      </x:c>
      <x:c r="C19" s="52" t="n">
        <x:f>C12-C18</x:f>
        <x:v>-300</x:v>
      </x:c>
      <x:c r="D19" s="52" t="n">
        <x:f>D12-D18</x:f>
        <x:v>550</x:v>
      </x:c>
      <x:c r="E19" s="52" t="n">
        <x:f>E12-E18</x:f>
        <x:v>2150</x:v>
      </x:c>
      <x:c r="F19" s="52" t="n">
        <x:f>F12-F18</x:f>
        <x:v>4250</x:v>
      </x:c>
      <x:c r="G19" s="11"/>
      <x:c r="H19" s="11"/>
      <x:c r="I19" s="11"/>
      <x:c r="J19" s="11"/>
      <x:c r="K19" s="11"/>
      <x:c r="L19" s="11"/>
      <x:c r="M19" s="11"/>
      <x:c r="N19" s="11"/>
      <x:c r="O19" s="11"/>
      <x:c r="P19" s="11"/>
      <x:c r="Q19" s="11"/>
      <x:c r="R19" s="11"/>
      <x:c r="S19" s="11"/>
      <x:c r="T19" s="11"/>
      <x:c r="U19" s="11"/>
      <x:c r="V19" s="11"/>
      <x:c r="W19" s="11"/>
      <x:c r="X19" s="11"/>
      <x:c r="Y19" s="11"/>
      <x:c r="Z19" s="11"/>
    </x:row>
    <x:row r="20">
      <x:c r="A20" s="51" t="str">
        <x:v>Biên EBITDA</x:v>
      </x:c>
      <x:c r="B20" s="53" t="n">
        <x:f>IF(B12=0,"n.a.",B19/B12)</x:f>
        <x:v>-3.8232758620689653</x:v>
      </x:c>
      <x:c r="C20" s="53" t="n">
        <x:f>IF(C12=0,"n.a.",C19/C12)</x:f>
        <x:v>-0.25</x:v>
      </x:c>
      <x:c r="D20" s="53" t="n">
        <x:f>IF(D12=0,"n.a.",D19/D12)</x:f>
        <x:v>0.19642857142857142</x:v>
      </x:c>
      <x:c r="E20" s="53" t="n">
        <x:f>IF(E12=0,"n.a.",E19/E12)</x:f>
        <x:v>0.38392857142857145</x:v>
      </x:c>
      <x:c r="F20" s="53" t="n">
        <x:f>IF(F12=0,"n.a.",F19/F12)</x:f>
        <x:v>0.4473684210526316</x:v>
      </x:c>
      <x:c r="G20" s="11"/>
      <x:c r="H20" s="11"/>
      <x:c r="I20" s="11"/>
      <x:c r="J20" s="11"/>
      <x:c r="K20" s="11"/>
      <x:c r="L20" s="11"/>
      <x:c r="M20" s="11"/>
      <x:c r="N20" s="11"/>
      <x:c r="O20" s="11"/>
      <x:c r="P20" s="11"/>
      <x:c r="Q20" s="11"/>
      <x:c r="R20" s="11"/>
      <x:c r="S20" s="11"/>
      <x:c r="T20" s="11"/>
      <x:c r="U20" s="11"/>
      <x:c r="V20" s="11"/>
      <x:c r="W20" s="11"/>
      <x:c r="X20" s="11"/>
      <x:c r="Y20" s="11"/>
      <x:c r="Z20" s="11"/>
    </x:row>
    <x:row r="21">
      <x:c r="A21" s="30" t="str">
        <x:v>Khấu hao</x:v>
      </x:c>
      <x:c r="B21" s="48" t="n">
        <x:f>SUM('Giả định'!$B$20:B20)/5</x:f>
        <x:v>68</x:v>
      </x:c>
      <x:c r="C21" s="48" t="n">
        <x:f>SUM('Giả định'!$B$20:C20)/5</x:f>
        <x:v>98</x:v>
      </x:c>
      <x:c r="D21" s="48" t="n">
        <x:f>SUM('Giả định'!$B$20:D20)/5</x:f>
        <x:v>134</x:v>
      </x:c>
      <x:c r="E21" s="48" t="n">
        <x:f>SUM('Giả định'!$B$20:E20)/5</x:f>
        <x:v>184</x:v>
      </x:c>
      <x:c r="F21" s="48" t="n">
        <x:f>SUM('Giả định'!$B$20:F20)/5</x:f>
        <x:v>254</x:v>
      </x:c>
      <x:c r="G21" s="11"/>
      <x:c r="H21" s="11"/>
      <x:c r="I21" s="11"/>
      <x:c r="J21" s="11"/>
      <x:c r="K21" s="11"/>
      <x:c r="L21" s="11"/>
      <x:c r="M21" s="11"/>
      <x:c r="N21" s="11"/>
      <x:c r="O21" s="11"/>
      <x:c r="P21" s="11"/>
      <x:c r="Q21" s="11"/>
      <x:c r="R21" s="11"/>
      <x:c r="S21" s="11"/>
      <x:c r="T21" s="11"/>
      <x:c r="U21" s="11"/>
      <x:c r="V21" s="11"/>
      <x:c r="W21" s="11"/>
      <x:c r="X21" s="11"/>
      <x:c r="Y21" s="11"/>
      <x:c r="Z21" s="11"/>
    </x:row>
    <x:row r="22">
      <x:c r="A22" s="30" t="str">
        <x:v>EBIT</x:v>
      </x:c>
      <x:c r="B22" s="48" t="n">
        <x:f>B19-B21</x:f>
        <x:v>-955</x:v>
      </x:c>
      <x:c r="C22" s="48" t="n">
        <x:f>C19-C21</x:f>
        <x:v>-398</x:v>
      </x:c>
      <x:c r="D22" s="48" t="n">
        <x:f>D19-D21</x:f>
        <x:v>416</x:v>
      </x:c>
      <x:c r="E22" s="48" t="n">
        <x:f>E19-E21</x:f>
        <x:v>1966</x:v>
      </x:c>
      <x:c r="F22" s="48" t="n">
        <x:f>F19-F21</x:f>
        <x:v>3996</x:v>
      </x:c>
      <x:c r="G22" s="11"/>
      <x:c r="H22" s="11"/>
      <x:c r="I22" s="11"/>
      <x:c r="J22" s="11"/>
      <x:c r="K22" s="11"/>
      <x:c r="L22" s="11"/>
      <x:c r="M22" s="11"/>
      <x:c r="N22" s="11"/>
      <x:c r="O22" s="11"/>
      <x:c r="P22" s="11"/>
      <x:c r="Q22" s="11"/>
      <x:c r="R22" s="11"/>
      <x:c r="S22" s="11"/>
      <x:c r="T22" s="11"/>
      <x:c r="U22" s="11"/>
      <x:c r="V22" s="11"/>
      <x:c r="W22" s="11"/>
      <x:c r="X22" s="11"/>
      <x:c r="Y22" s="11"/>
      <x:c r="Z22" s="11"/>
    </x:row>
    <x:row r="23">
      <x:c r="A23" s="30" t="str">
        <x:v>Thuế TNDN</x:v>
      </x:c>
      <x:c r="B23" s="48" t="n">
        <x:f>MAX(0,B22*'Giả định'!B22)</x:f>
        <x:v>0</x:v>
      </x:c>
      <x:c r="C23" s="48" t="n">
        <x:f>MAX(0,C22*'Giả định'!C22)</x:f>
        <x:v>0</x:v>
      </x:c>
      <x:c r="D23" s="48" t="n">
        <x:f>MAX(0,D22*'Giả định'!D22)</x:f>
        <x:v>83.2</x:v>
      </x:c>
      <x:c r="E23" s="48" t="n">
        <x:f>MAX(0,E22*'Giả định'!E22)</x:f>
        <x:v>393.20000000000005</x:v>
      </x:c>
      <x:c r="F23" s="48" t="n">
        <x:f>MAX(0,F22*'Giả định'!F22)</x:f>
        <x:v>799.2</x:v>
      </x:c>
      <x:c r="G23" s="11"/>
      <x:c r="H23" s="11"/>
      <x:c r="I23" s="11"/>
      <x:c r="J23" s="11"/>
      <x:c r="K23" s="11"/>
      <x:c r="L23" s="11"/>
      <x:c r="M23" s="11"/>
      <x:c r="N23" s="11"/>
      <x:c r="O23" s="11"/>
      <x:c r="P23" s="11"/>
      <x:c r="Q23" s="11"/>
      <x:c r="R23" s="11"/>
      <x:c r="S23" s="11"/>
      <x:c r="T23" s="11"/>
      <x:c r="U23" s="11"/>
      <x:c r="V23" s="11"/>
      <x:c r="W23" s="11"/>
      <x:c r="X23" s="11"/>
      <x:c r="Y23" s="11"/>
      <x:c r="Z23" s="11"/>
    </x:row>
    <x:row r="24">
      <x:c r="A24" s="30" t="str">
        <x:v>Lợi nhuận ròng</x:v>
      </x:c>
      <x:c r="B24" s="48" t="n">
        <x:f>B22-B23</x:f>
        <x:v>-955</x:v>
      </x:c>
      <x:c r="C24" s="48" t="n">
        <x:f>C22-C23</x:f>
        <x:v>-398</x:v>
      </x:c>
      <x:c r="D24" s="48" t="n">
        <x:f>D22-D23</x:f>
        <x:v>332.8</x:v>
      </x:c>
      <x:c r="E24" s="48" t="n">
        <x:f>E22-E23</x:f>
        <x:v>1572.8</x:v>
      </x:c>
      <x:c r="F24" s="48" t="n">
        <x:f>F22-F23</x:f>
        <x:v>3196.8</x:v>
      </x:c>
      <x:c r="G24" s="11"/>
      <x:c r="H24" s="11"/>
      <x:c r="I24" s="11"/>
      <x:c r="J24" s="11"/>
      <x:c r="K24" s="11"/>
      <x:c r="L24" s="11"/>
      <x:c r="M24" s="11"/>
      <x:c r="N24" s="11"/>
      <x:c r="O24" s="11"/>
      <x:c r="P24" s="11"/>
      <x:c r="Q24" s="11"/>
      <x:c r="R24" s="11"/>
      <x:c r="S24" s="11"/>
      <x:c r="T24" s="11"/>
      <x:c r="U24" s="11"/>
      <x:c r="V24" s="11"/>
      <x:c r="W24" s="11"/>
      <x:c r="X24" s="11"/>
      <x:c r="Y24" s="11"/>
      <x:c r="Z24" s="11"/>
    </x:row>
    <x:row r="25">
      <x:c r="A25" s="30" t="str">
        <x:v>Capex</x:v>
      </x:c>
      <x:c r="B25" s="48" t="n">
        <x:f>'Giả định'!B20</x:f>
        <x:v>340</x:v>
      </x:c>
      <x:c r="C25" s="48" t="n">
        <x:f>'Giả định'!C20</x:f>
        <x:v>150</x:v>
      </x:c>
      <x:c r="D25" s="48" t="n">
        <x:f>'Giả định'!D20</x:f>
        <x:v>180</x:v>
      </x:c>
      <x:c r="E25" s="48" t="n">
        <x:f>'Giả định'!E20</x:f>
        <x:v>250</x:v>
      </x:c>
      <x:c r="F25" s="48" t="n">
        <x:f>'Giả định'!F20</x:f>
        <x:v>350</x:v>
      </x:c>
      <x:c r="G25" s="11"/>
      <x:c r="H25" s="11"/>
      <x:c r="I25" s="11"/>
      <x:c r="J25" s="11"/>
      <x:c r="K25" s="11"/>
      <x:c r="L25" s="11"/>
      <x:c r="M25" s="11"/>
      <x:c r="N25" s="11"/>
      <x:c r="O25" s="11"/>
      <x:c r="P25" s="11"/>
      <x:c r="Q25" s="11"/>
      <x:c r="R25" s="11"/>
      <x:c r="S25" s="11"/>
      <x:c r="T25" s="11"/>
      <x:c r="U25" s="11"/>
      <x:c r="V25" s="11"/>
      <x:c r="W25" s="11"/>
      <x:c r="X25" s="11"/>
      <x:c r="Y25" s="11"/>
      <x:c r="Z25" s="11"/>
    </x:row>
    <x:row r="26">
      <x:c r="A26" s="30" t="str">
        <x:v>Dòng tiền tự do trước tài trợ</x:v>
      </x:c>
      <x:c r="B26" s="48" t="n">
        <x:f>B19-B23-B25</x:f>
        <x:v>-1227</x:v>
      </x:c>
      <x:c r="C26" s="48" t="n">
        <x:f>C19-C23-C25</x:f>
        <x:v>-450</x:v>
      </x:c>
      <x:c r="D26" s="48" t="n">
        <x:f>D19-D23-D25</x:f>
        <x:v>286.8</x:v>
      </x:c>
      <x:c r="E26" s="48" t="n">
        <x:f>E19-E23-E25</x:f>
        <x:v>1506.8</x:v>
      </x:c>
      <x:c r="F26" s="48" t="n">
        <x:f>F19-F23-F25</x:f>
        <x:v>3100.8</x:v>
      </x:c>
      <x:c r="G26" s="11"/>
      <x:c r="H26" s="11"/>
      <x:c r="I26" s="11"/>
      <x:c r="J26" s="11"/>
      <x:c r="K26" s="11"/>
      <x:c r="L26" s="11"/>
      <x:c r="M26" s="11"/>
      <x:c r="N26" s="11"/>
      <x:c r="O26" s="11"/>
      <x:c r="P26" s="11"/>
      <x:c r="Q26" s="11"/>
      <x:c r="R26" s="11"/>
      <x:c r="S26" s="11"/>
      <x:c r="T26" s="11"/>
      <x:c r="U26" s="11"/>
      <x:c r="V26" s="11"/>
      <x:c r="W26" s="11"/>
      <x:c r="X26" s="11"/>
      <x:c r="Y26" s="11"/>
      <x:c r="Z26" s="11"/>
    </x:row>
    <x:row r="27">
      <x:c r="A27" s="30" t="str">
        <x:v>Vốn giải ngân</x:v>
      </x:c>
      <x:c r="B27" s="48" t="n">
        <x:f>'Nguồn vốn'!F9</x:f>
        <x:v>1300</x:v>
      </x:c>
      <x:c r="C27" s="48" t="n">
        <x:f>'Nguồn vốn'!F10</x:f>
        <x:v>500</x:v>
      </x:c>
      <x:c r="D27" s="48" t="n">
        <x:f>0</x:f>
        <x:v>0</x:v>
      </x:c>
      <x:c r="E27" s="48" t="n">
        <x:f>0</x:f>
        <x:v>0</x:v>
      </x:c>
      <x:c r="F27" s="48" t="n">
        <x:f>0</x:f>
        <x:v>0</x:v>
      </x:c>
      <x:c r="G27" s="11"/>
      <x:c r="H27" s="11"/>
      <x:c r="I27" s="11"/>
      <x:c r="J27" s="11"/>
      <x:c r="K27" s="11"/>
      <x:c r="L27" s="11"/>
      <x:c r="M27" s="11"/>
      <x:c r="N27" s="11"/>
      <x:c r="O27" s="11"/>
      <x:c r="P27" s="11"/>
      <x:c r="Q27" s="11"/>
      <x:c r="R27" s="11"/>
      <x:c r="S27" s="11"/>
      <x:c r="T27" s="11"/>
      <x:c r="U27" s="11"/>
      <x:c r="V27" s="11"/>
      <x:c r="W27" s="11"/>
      <x:c r="X27" s="11"/>
      <x:c r="Y27" s="11"/>
      <x:c r="Z27" s="11"/>
    </x:row>
    <x:row r="28">
      <x:c r="A28" s="30" t="str">
        <x:v>Tiền đầu kỳ</x:v>
      </x:c>
      <x:c r="B28" s="48" t="n">
        <x:f>0</x:f>
        <x:v>0</x:v>
      </x:c>
      <x:c r="C28" s="48" t="n">
        <x:f>B29</x:f>
        <x:v>73</x:v>
      </x:c>
      <x:c r="D28" s="48" t="n">
        <x:f>C29</x:f>
        <x:v>123</x:v>
      </x:c>
      <x:c r="E28" s="48" t="n">
        <x:f>D29</x:f>
        <x:v>409.8</x:v>
      </x:c>
      <x:c r="F28" s="48" t="n">
        <x:f>E29</x:f>
        <x:v>1916.6</x:v>
      </x:c>
      <x:c r="G28" s="11"/>
      <x:c r="H28" s="11"/>
      <x:c r="I28" s="11"/>
      <x:c r="J28" s="11"/>
      <x:c r="K28" s="11"/>
      <x:c r="L28" s="11"/>
      <x:c r="M28" s="11"/>
      <x:c r="N28" s="11"/>
      <x:c r="O28" s="11"/>
      <x:c r="P28" s="11"/>
      <x:c r="Q28" s="11"/>
      <x:c r="R28" s="11"/>
      <x:c r="S28" s="11"/>
      <x:c r="T28" s="11"/>
      <x:c r="U28" s="11"/>
      <x:c r="V28" s="11"/>
      <x:c r="W28" s="11"/>
      <x:c r="X28" s="11"/>
      <x:c r="Y28" s="11"/>
      <x:c r="Z28" s="11"/>
    </x:row>
    <x:row r="29">
      <x:c r="A29" s="54" t="str">
        <x:v>Tiền cuối kỳ</x:v>
      </x:c>
      <x:c r="B29" s="55" t="n">
        <x:f>B28+B27+B26</x:f>
        <x:v>73</x:v>
      </x:c>
      <x:c r="C29" s="55" t="n">
        <x:f>C28+C27+C26</x:f>
        <x:v>123</x:v>
      </x:c>
      <x:c r="D29" s="55" t="n">
        <x:f>D28+D27+D26</x:f>
        <x:v>409.8</x:v>
      </x:c>
      <x:c r="E29" s="55" t="n">
        <x:f>E28+E27+E26</x:f>
        <x:v>1916.6</x:v>
      </x:c>
      <x:c r="F29" s="55" t="n">
        <x:f>F28+F27+F26</x:f>
        <x:v>5017.4</x:v>
      </x:c>
      <x:c r="G29" s="11"/>
      <x:c r="H29" s="11"/>
      <x:c r="I29" s="11"/>
      <x:c r="J29" s="11"/>
      <x:c r="K29" s="11"/>
      <x:c r="L29" s="11"/>
      <x:c r="M29" s="11"/>
      <x:c r="N29" s="11"/>
      <x:c r="O29" s="11"/>
      <x:c r="P29" s="11"/>
      <x:c r="Q29" s="11"/>
      <x:c r="R29" s="11"/>
      <x:c r="S29" s="11"/>
      <x:c r="T29" s="11"/>
      <x:c r="U29" s="11"/>
      <x:c r="V29" s="11"/>
      <x:c r="W29" s="11"/>
      <x:c r="X29" s="11"/>
      <x:c r="Y29" s="11"/>
      <x:c r="Z29" s="11"/>
    </x:row>
    <x:row r="30">
      <x:c r="A30" s="51" t="str">
        <x:v>Nợ ngân hàng cuối kỳ</x:v>
      </x:c>
      <x:c r="B30" s="52" t="n">
        <x:f>'Giả định'!B23</x:f>
        <x:v>0</x:v>
      </x:c>
      <x:c r="C30" s="52" t="n">
        <x:f>'Giả định'!C23</x:f>
        <x:v>0</x:v>
      </x:c>
      <x:c r="D30" s="52" t="n">
        <x:f>'Giả định'!D23</x:f>
        <x:v>0</x:v>
      </x:c>
      <x:c r="E30" s="52" t="n">
        <x:f>'Giả định'!E23</x:f>
        <x:v>0</x:v>
      </x:c>
      <x:c r="F30" s="52" t="n">
        <x:f>'Giả định'!F23</x:f>
        <x:v>0</x:v>
      </x:c>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sheetData>
  <x:mergeCells>
    <x:mergeCell ref="A2:F2"/>
  </x:mergeCells>
  <x:pageMargins left="0.7" right="0.7" top="0.75" bottom="0.75" header="0.3" footer="0.3"/>
</x:worksheet>
</file>

<file path=xl/worksheets/sheet5.xml><?xml version="1.0" encoding="utf-8"?>
<x:worksheet xmlns:x="http://schemas.openxmlformats.org/spreadsheetml/2006/main">
  <x:sheetPr>
    <x:tabColor rgb="FF70AD47"/>
  </x:sheetPr>
  <x:sheetViews>
    <x:sheetView showGridLines="0" workbookViewId="0">
      <x:pane ySplit="4" topLeftCell="A5" activePane="bottomLeft" state="frozen"/>
    </x:sheetView>
  </x:sheetViews>
  <x:sheetFormatPr defaultRowHeight="15"/>
  <x:cols>
    <x:col min="1" max="1" width="11" hidden="0" customWidth="1"/>
    <x:col min="2" max="2" width="11" hidden="0" customWidth="1"/>
    <x:col min="3" max="3" width="11" hidden="0" customWidth="1"/>
    <x:col min="4" max="4" width="12" hidden="0" customWidth="1"/>
    <x:col min="5" max="5" width="13" hidden="0" customWidth="1"/>
    <x:col min="6" max="6" width="15" hidden="0" customWidth="1"/>
    <x:col min="7" max="7" width="13" hidden="0" customWidth="1"/>
    <x:col min="8" max="8" width="11" hidden="0" customWidth="1"/>
    <x:col min="9" max="9" width="11" hidden="0" customWidth="1"/>
    <x:col min="10" max="10" width="11" hidden="0" customWidth="1"/>
    <x:col min="11" max="11" width="11" hidden="0" customWidth="1"/>
    <x:col min="12" max="12" width="12" hidden="0" customWidth="1"/>
    <x:col min="13" max="13" width="12" hidden="0" customWidth="1"/>
    <x:col min="14" max="14" width="11" hidden="0" customWidth="1"/>
    <x:col min="15" max="15" width="13" hidden="0" customWidth="1"/>
    <x:col min="16" max="16" width="13" hidden="0" customWidth="1"/>
  </x:cols>
  <x:sheetData>
    <x:row r="1">
      <x:c r="A1" s="11"/>
      <x:c r="B1" s="11"/>
      <x:c r="C1" s="11"/>
      <x:c r="D1" s="11"/>
      <x:c r="E1" s="11"/>
      <x:c r="F1" s="11"/>
      <x:c r="G1" s="11"/>
      <x:c r="H1" s="11"/>
      <x:c r="I1" s="11"/>
      <x:c r="J1" s="11"/>
      <x:c r="K1" s="11"/>
      <x:c r="L1" s="11"/>
      <x:c r="M1" s="11"/>
      <x:c r="N1" s="11"/>
      <x:c r="O1" s="11"/>
      <x:c r="P1" s="11"/>
      <x:c r="Q1" s="11"/>
      <x:c r="R1" s="11"/>
      <x:c r="S1" s="11"/>
      <x:c r="T1" s="11"/>
      <x:c r="U1" s="11"/>
      <x:c r="V1" s="11"/>
      <x:c r="W1" s="11"/>
      <x:c r="X1" s="11"/>
      <x:c r="Y1" s="11"/>
      <x:c r="Z1" s="11"/>
    </x:row>
    <x:row r="2" ht="26" customHeight="1">
      <x:c r="A2" s="3" t="str">
        <x:v>Dòng tiền 24 tháng và runway</x:v>
      </x:c>
      <x:c r="B2" s="3" t="str">
        <x:v>Dòng tiền 24 tháng và runway</x:v>
      </x:c>
      <x:c r="C2" s="3" t="str">
        <x:v>Dòng tiền 24 tháng và runway</x:v>
      </x:c>
      <x:c r="D2" s="3" t="str">
        <x:v>Dòng tiền 24 tháng và runway</x:v>
      </x:c>
      <x:c r="E2" s="3" t="str">
        <x:v>Dòng tiền 24 tháng và runway</x:v>
      </x:c>
      <x:c r="F2" s="3" t="str">
        <x:v>Dòng tiền 24 tháng và runway</x:v>
      </x:c>
      <x:c r="G2" s="3" t="str">
        <x:v>Dòng tiền 24 tháng và runway</x:v>
      </x:c>
      <x:c r="H2" s="3" t="str">
        <x:v>Dòng tiền 24 tháng và runway</x:v>
      </x:c>
      <x:c r="I2" s="3" t="str">
        <x:v>Dòng tiền 24 tháng và runway</x:v>
      </x:c>
      <x:c r="J2" s="3" t="str">
        <x:v>Dòng tiền 24 tháng và runway</x:v>
      </x:c>
      <x:c r="K2" s="3" t="str">
        <x:v>Dòng tiền 24 tháng và runway</x:v>
      </x:c>
      <x:c r="L2" s="3" t="str">
        <x:v>Dòng tiền 24 tháng và runway</x:v>
      </x:c>
      <x:c r="M2" s="3" t="str">
        <x:v>Dòng tiền 24 tháng và runway</x:v>
      </x:c>
      <x:c r="N2" s="3" t="str">
        <x:v>Dòng tiền 24 tháng và runway</x:v>
      </x:c>
      <x:c r="O2" s="3" t="str">
        <x:v>Dòng tiền 24 tháng và runway</x:v>
      </x:c>
      <x:c r="P2" s="3" t="str">
        <x:v>Dòng tiền 24 tháng và runway</x:v>
      </x:c>
      <x:c r="Q2" s="11"/>
      <x:c r="R2" s="11"/>
      <x:c r="S2" s="11"/>
      <x:c r="T2" s="11"/>
      <x:c r="U2" s="11"/>
      <x:c r="V2" s="11"/>
      <x:c r="W2" s="11"/>
      <x:c r="X2" s="11"/>
      <x:c r="Y2" s="11"/>
      <x:c r="Z2" s="11"/>
    </x:row>
    <x:row r="3">
      <x:c r="A3" s="87"/>
      <x:c r="B3" s="87"/>
      <x:c r="C3" s="87"/>
      <x:c r="D3" s="87"/>
      <x:c r="E3" s="87"/>
      <x:c r="F3" s="87"/>
      <x:c r="G3" s="87"/>
      <x:c r="H3" s="87"/>
      <x:c r="I3" s="87"/>
      <x:c r="J3" s="87"/>
      <x:c r="K3" s="87"/>
      <x:c r="L3" s="87"/>
      <x:c r="M3" s="87"/>
      <x:c r="N3" s="87"/>
      <x:c r="O3" s="87"/>
      <x:c r="P3" s="87"/>
      <x:c r="Q3" s="11"/>
      <x:c r="R3" s="11"/>
      <x:c r="S3" s="11"/>
      <x:c r="T3" s="11"/>
      <x:c r="U3" s="11"/>
      <x:c r="V3" s="11"/>
      <x:c r="W3" s="11"/>
      <x:c r="X3" s="11"/>
      <x:c r="Y3" s="11"/>
      <x:c r="Z3" s="11"/>
    </x:row>
    <x:row r="4">
      <x:c r="A4" s="10" t="str">
        <x:v>Tháng</x:v>
      </x:c>
      <x:c r="B4" s="10" t="str">
        <x:v>DN trả phí</x:v>
      </x:c>
      <x:c r="C4" s="10" t="str">
        <x:v>Phí/DN</x:v>
      </x:c>
      <x:c r="D4" s="10" t="str">
        <x:v>Thuê bao</x:v>
      </x:c>
      <x:c r="E4" s="10" t="str">
        <x:v>Phí giao dịch</x:v>
      </x:c>
      <x:c r="F4" s="10" t="str">
        <x:v>Pilot/onboarding</x:v>
      </x:c>
      <x:c r="G4" s="10" t="str">
        <x:v>Doanh thu</x:v>
      </x:c>
      <x:c r="H4" s="10" t="str">
        <x:v>Nhân sự</x:v>
      </x:c>
      <x:c r="I4" s="10" t="str">
        <x:v>Cloud/data</x:v>
      </x:c>
      <x:c r="J4" s="10" t="str">
        <x:v>Vận hành</x:v>
      </x:c>
      <x:c r="K4" s="10" t="str">
        <x:v>Bán hàng</x:v>
      </x:c>
      <x:c r="L4" s="10" t="str">
        <x:v>Pháp lý/HC</x:v>
      </x:c>
      <x:c r="M4" s="10" t="str">
        <x:v>EBITDA</x:v>
      </x:c>
      <x:c r="N4" s="10" t="str">
        <x:v>Capex</x:v>
      </x:c>
      <x:c r="O4" s="10" t="str">
        <x:v>Vốn giải ngân</x:v>
      </x:c>
      <x:c r="P4" s="10" t="str">
        <x:v>Tiền cuối kỳ</x:v>
      </x:c>
      <x:c r="Q4" s="11"/>
      <x:c r="R4" s="11"/>
      <x:c r="S4" s="11"/>
      <x:c r="T4" s="11"/>
      <x:c r="U4" s="11"/>
      <x:c r="V4" s="11"/>
      <x:c r="W4" s="11"/>
      <x:c r="X4" s="11"/>
      <x:c r="Y4" s="11"/>
      <x:c r="Z4" s="11"/>
    </x:row>
    <x:row r="5">
      <x:c r="A5" s="72" t="n">
        <x:v>46023</x:v>
      </x:c>
      <x:c r="B5" s="33" t="n">
        <x:v>0</x:v>
      </x:c>
      <x:c r="C5" s="35" t="n">
        <x:v>5</x:v>
      </x:c>
      <x:c r="D5" s="66" t="n">
        <x:f>B5*C5</x:f>
        <x:v>0</x:v>
      </x:c>
      <x:c r="E5" s="35" t="n">
        <x:v>0</x:v>
      </x:c>
      <x:c r="F5" s="35" t="n">
        <x:v>0</x:v>
      </x:c>
      <x:c r="G5" s="66" t="n">
        <x:f>SUM(D5:F5)</x:f>
        <x:v>0</x:v>
      </x:c>
      <x:c r="H5" s="35" t="n">
        <x:v>45</x:v>
      </x:c>
      <x:c r="I5" s="35" t="n">
        <x:v>8</x:v>
      </x:c>
      <x:c r="J5" s="35" t="n">
        <x:v>10</x:v>
      </x:c>
      <x:c r="K5" s="35" t="n">
        <x:v>5</x:v>
      </x:c>
      <x:c r="L5" s="35" t="n">
        <x:v>7</x:v>
      </x:c>
      <x:c r="M5" s="66" t="n">
        <x:f>G5-SUM(H5:L5)</x:f>
        <x:v>-75</x:v>
      </x:c>
      <x:c r="N5" s="35" t="n">
        <x:v>120</x:v>
      </x:c>
      <x:c r="O5" s="35" t="n">
        <x:v>700</x:v>
      </x:c>
      <x:c r="P5" s="66" t="n">
        <x:f>O5+M5-N5</x:f>
        <x:v>505</x:v>
      </x:c>
      <x:c r="Q5" s="11"/>
      <x:c r="R5" s="11"/>
      <x:c r="S5" s="11"/>
      <x:c r="T5" s="11"/>
      <x:c r="U5" s="11"/>
      <x:c r="V5" s="11"/>
      <x:c r="W5" s="11"/>
      <x:c r="X5" s="11"/>
      <x:c r="Y5" s="11"/>
      <x:c r="Z5" s="11"/>
    </x:row>
    <x:row r="6">
      <x:c r="A6" s="73" t="n">
        <x:v>46054</x:v>
      </x:c>
      <x:c r="B6" s="34" t="n">
        <x:v>0</x:v>
      </x:c>
      <x:c r="C6" s="36" t="n">
        <x:v>5</x:v>
      </x:c>
      <x:c r="D6" s="48" t="n">
        <x:f>B6*C6</x:f>
        <x:v>0</x:v>
      </x:c>
      <x:c r="E6" s="36" t="n">
        <x:v>0</x:v>
      </x:c>
      <x:c r="F6" s="36" t="n">
        <x:v>0</x:v>
      </x:c>
      <x:c r="G6" s="48" t="n">
        <x:f>SUM(D6:F6)</x:f>
        <x:v>0</x:v>
      </x:c>
      <x:c r="H6" s="36" t="n">
        <x:v>45</x:v>
      </x:c>
      <x:c r="I6" s="36" t="n">
        <x:v>8</x:v>
      </x:c>
      <x:c r="J6" s="36" t="n">
        <x:v>10</x:v>
      </x:c>
      <x:c r="K6" s="36" t="n">
        <x:v>5</x:v>
      </x:c>
      <x:c r="L6" s="36" t="n">
        <x:v>7</x:v>
      </x:c>
      <x:c r="M6" s="48" t="n">
        <x:f>G6-SUM(H6:L6)</x:f>
        <x:v>-75</x:v>
      </x:c>
      <x:c r="N6" s="36" t="n">
        <x:v>0</x:v>
      </x:c>
      <x:c r="O6" s="36" t="n">
        <x:v>0</x:v>
      </x:c>
      <x:c r="P6" s="48" t="n">
        <x:f>P5+O6+M6-N6</x:f>
        <x:v>430</x:v>
      </x:c>
      <x:c r="Q6" s="11"/>
      <x:c r="R6" s="11"/>
      <x:c r="S6" s="11"/>
      <x:c r="T6" s="11"/>
      <x:c r="U6" s="11"/>
      <x:c r="V6" s="11"/>
      <x:c r="W6" s="11"/>
      <x:c r="X6" s="11"/>
      <x:c r="Y6" s="11"/>
      <x:c r="Z6" s="11"/>
    </x:row>
    <x:row r="7">
      <x:c r="A7" s="73" t="n">
        <x:v>46082</x:v>
      </x:c>
      <x:c r="B7" s="34" t="n">
        <x:v>0</x:v>
      </x:c>
      <x:c r="C7" s="36" t="n">
        <x:v>5</x:v>
      </x:c>
      <x:c r="D7" s="48" t="n">
        <x:f>B7*C7</x:f>
        <x:v>0</x:v>
      </x:c>
      <x:c r="E7" s="36" t="n">
        <x:v>0</x:v>
      </x:c>
      <x:c r="F7" s="36" t="n">
        <x:v>0</x:v>
      </x:c>
      <x:c r="G7" s="48" t="n">
        <x:f>SUM(D7:F7)</x:f>
        <x:v>0</x:v>
      </x:c>
      <x:c r="H7" s="36" t="n">
        <x:v>45</x:v>
      </x:c>
      <x:c r="I7" s="36" t="n">
        <x:v>8</x:v>
      </x:c>
      <x:c r="J7" s="36" t="n">
        <x:v>10</x:v>
      </x:c>
      <x:c r="K7" s="36" t="n">
        <x:v>5</x:v>
      </x:c>
      <x:c r="L7" s="36" t="n">
        <x:v>7</x:v>
      </x:c>
      <x:c r="M7" s="48" t="n">
        <x:f>G7-SUM(H7:L7)</x:f>
        <x:v>-75</x:v>
      </x:c>
      <x:c r="N7" s="36" t="n">
        <x:v>0</x:v>
      </x:c>
      <x:c r="O7" s="36" t="n">
        <x:v>0</x:v>
      </x:c>
      <x:c r="P7" s="48" t="n">
        <x:f>P6+O7+M7-N7</x:f>
        <x:v>355</x:v>
      </x:c>
      <x:c r="Q7" s="11"/>
      <x:c r="R7" s="11"/>
      <x:c r="S7" s="11"/>
      <x:c r="T7" s="11"/>
      <x:c r="U7" s="11"/>
      <x:c r="V7" s="11"/>
      <x:c r="W7" s="11"/>
      <x:c r="X7" s="11"/>
      <x:c r="Y7" s="11"/>
      <x:c r="Z7" s="11"/>
    </x:row>
    <x:row r="8">
      <x:c r="A8" s="73" t="n">
        <x:v>46113</x:v>
      </x:c>
      <x:c r="B8" s="34" t="n">
        <x:v>0</x:v>
      </x:c>
      <x:c r="C8" s="36" t="n">
        <x:v>5</x:v>
      </x:c>
      <x:c r="D8" s="48" t="n">
        <x:f>B8*C8</x:f>
        <x:v>0</x:v>
      </x:c>
      <x:c r="E8" s="36" t="n">
        <x:v>2</x:v>
      </x:c>
      <x:c r="F8" s="36" t="n">
        <x:v>10</x:v>
      </x:c>
      <x:c r="G8" s="48" t="n">
        <x:f>SUM(D8:F8)</x:f>
        <x:v>12</x:v>
      </x:c>
      <x:c r="H8" s="36" t="n">
        <x:v>45</x:v>
      </x:c>
      <x:c r="I8" s="36" t="n">
        <x:v>8</x:v>
      </x:c>
      <x:c r="J8" s="36" t="n">
        <x:v>25</x:v>
      </x:c>
      <x:c r="K8" s="36" t="n">
        <x:v>5</x:v>
      </x:c>
      <x:c r="L8" s="36" t="n">
        <x:v>7</x:v>
      </x:c>
      <x:c r="M8" s="48" t="n">
        <x:f>G8-SUM(H8:L8)</x:f>
        <x:v>-78</x:v>
      </x:c>
      <x:c r="N8" s="36" t="n">
        <x:v>80</x:v>
      </x:c>
      <x:c r="O8" s="36" t="n">
        <x:v>0</x:v>
      </x:c>
      <x:c r="P8" s="48" t="n">
        <x:f>P7+O8+M8-N8</x:f>
        <x:v>197</x:v>
      </x:c>
      <x:c r="Q8" s="11"/>
      <x:c r="R8" s="11"/>
      <x:c r="S8" s="11"/>
      <x:c r="T8" s="11"/>
      <x:c r="U8" s="11"/>
      <x:c r="V8" s="11"/>
      <x:c r="W8" s="11"/>
      <x:c r="X8" s="11"/>
      <x:c r="Y8" s="11"/>
      <x:c r="Z8" s="11"/>
    </x:row>
    <x:row r="9">
      <x:c r="A9" s="73" t="n">
        <x:v>46143</x:v>
      </x:c>
      <x:c r="B9" s="34" t="n">
        <x:v>0</x:v>
      </x:c>
      <x:c r="C9" s="36" t="n">
        <x:v>5</x:v>
      </x:c>
      <x:c r="D9" s="48" t="n">
        <x:f>B9*C9</x:f>
        <x:v>0</x:v>
      </x:c>
      <x:c r="E9" s="36" t="n">
        <x:v>2</x:v>
      </x:c>
      <x:c r="F9" s="36" t="n">
        <x:v>10</x:v>
      </x:c>
      <x:c r="G9" s="48" t="n">
        <x:f>SUM(D9:F9)</x:f>
        <x:v>12</x:v>
      </x:c>
      <x:c r="H9" s="36" t="n">
        <x:v>45</x:v>
      </x:c>
      <x:c r="I9" s="36" t="n">
        <x:v>8</x:v>
      </x:c>
      <x:c r="J9" s="36" t="n">
        <x:v>25</x:v>
      </x:c>
      <x:c r="K9" s="36" t="n">
        <x:v>5</x:v>
      </x:c>
      <x:c r="L9" s="36" t="n">
        <x:v>7</x:v>
      </x:c>
      <x:c r="M9" s="48" t="n">
        <x:f>G9-SUM(H9:L9)</x:f>
        <x:v>-78</x:v>
      </x:c>
      <x:c r="N9" s="36" t="n">
        <x:v>0</x:v>
      </x:c>
      <x:c r="O9" s="36" t="n">
        <x:v>0</x:v>
      </x:c>
      <x:c r="P9" s="48" t="n">
        <x:f>P8+O9+M9-N9</x:f>
        <x:v>119</x:v>
      </x:c>
      <x:c r="Q9" s="11"/>
      <x:c r="R9" s="11"/>
      <x:c r="S9" s="11"/>
      <x:c r="T9" s="11"/>
      <x:c r="U9" s="11"/>
      <x:c r="V9" s="11"/>
      <x:c r="W9" s="11"/>
      <x:c r="X9" s="11"/>
      <x:c r="Y9" s="11"/>
      <x:c r="Z9" s="11"/>
    </x:row>
    <x:row r="10">
      <x:c r="A10" s="73" t="n">
        <x:v>46174</x:v>
      </x:c>
      <x:c r="B10" s="34" t="n">
        <x:v>0</x:v>
      </x:c>
      <x:c r="C10" s="36" t="n">
        <x:v>5</x:v>
      </x:c>
      <x:c r="D10" s="48" t="n">
        <x:f>B10*C10</x:f>
        <x:v>0</x:v>
      </x:c>
      <x:c r="E10" s="36" t="n">
        <x:v>2</x:v>
      </x:c>
      <x:c r="F10" s="36" t="n">
        <x:v>10</x:v>
      </x:c>
      <x:c r="G10" s="48" t="n">
        <x:f>SUM(D10:F10)</x:f>
        <x:v>12</x:v>
      </x:c>
      <x:c r="H10" s="36" t="n">
        <x:v>45</x:v>
      </x:c>
      <x:c r="I10" s="36" t="n">
        <x:v>8</x:v>
      </x:c>
      <x:c r="J10" s="36" t="n">
        <x:v>25</x:v>
      </x:c>
      <x:c r="K10" s="36" t="n">
        <x:v>5</x:v>
      </x:c>
      <x:c r="L10" s="36" t="n">
        <x:v>7</x:v>
      </x:c>
      <x:c r="M10" s="48" t="n">
        <x:f>G10-SUM(H10:L10)</x:f>
        <x:v>-78</x:v>
      </x:c>
      <x:c r="N10" s="36" t="n">
        <x:v>0</x:v>
      </x:c>
      <x:c r="O10" s="36" t="n">
        <x:v>0</x:v>
      </x:c>
      <x:c r="P10" s="48" t="n">
        <x:f>P9+O10+M10-N10</x:f>
        <x:v>41</x:v>
      </x:c>
      <x:c r="Q10" s="11"/>
      <x:c r="R10" s="11"/>
      <x:c r="S10" s="11"/>
      <x:c r="T10" s="11"/>
      <x:c r="U10" s="11"/>
      <x:c r="V10" s="11"/>
      <x:c r="W10" s="11"/>
      <x:c r="X10" s="11"/>
      <x:c r="Y10" s="11"/>
      <x:c r="Z10" s="11"/>
    </x:row>
    <x:row r="11">
      <x:c r="A11" s="73" t="n">
        <x:v>46204</x:v>
      </x:c>
      <x:c r="B11" s="34" t="n">
        <x:v>2</x:v>
      </x:c>
      <x:c r="C11" s="36" t="n">
        <x:v>5</x:v>
      </x:c>
      <x:c r="D11" s="48" t="n">
        <x:f>B11*C11</x:f>
        <x:v>10</x:v>
      </x:c>
      <x:c r="E11" s="36" t="n">
        <x:v>5</x:v>
      </x:c>
      <x:c r="F11" s="36" t="n">
        <x:v>20</x:v>
      </x:c>
      <x:c r="G11" s="48" t="n">
        <x:f>SUM(D11:F11)</x:f>
        <x:v>35</x:v>
      </x:c>
      <x:c r="H11" s="36" t="n">
        <x:v>55</x:v>
      </x:c>
      <x:c r="I11" s="36" t="n">
        <x:v>12</x:v>
      </x:c>
      <x:c r="J11" s="36" t="n">
        <x:v>20</x:v>
      </x:c>
      <x:c r="K11" s="36" t="n">
        <x:v>10</x:v>
      </x:c>
      <x:c r="L11" s="36" t="n">
        <x:v>7</x:v>
      </x:c>
      <x:c r="M11" s="48" t="n">
        <x:f>G11-SUM(H11:L11)</x:f>
        <x:v>-69</x:v>
      </x:c>
      <x:c r="N11" s="36" t="n">
        <x:v>80</x:v>
      </x:c>
      <x:c r="O11" s="36" t="n">
        <x:v>600</x:v>
      </x:c>
      <x:c r="P11" s="48" t="n">
        <x:f>P10+O11+M11-N11</x:f>
        <x:v>492</x:v>
      </x:c>
      <x:c r="Q11" s="11"/>
      <x:c r="R11" s="11"/>
      <x:c r="S11" s="11"/>
      <x:c r="T11" s="11"/>
      <x:c r="U11" s="11"/>
      <x:c r="V11" s="11"/>
      <x:c r="W11" s="11"/>
      <x:c r="X11" s="11"/>
      <x:c r="Y11" s="11"/>
      <x:c r="Z11" s="11"/>
    </x:row>
    <x:row r="12">
      <x:c r="A12" s="73" t="n">
        <x:v>46235</x:v>
      </x:c>
      <x:c r="B12" s="34" t="n">
        <x:v>2</x:v>
      </x:c>
      <x:c r="C12" s="36" t="n">
        <x:v>5</x:v>
      </x:c>
      <x:c r="D12" s="48" t="n">
        <x:f>B12*C12</x:f>
        <x:v>10</x:v>
      </x:c>
      <x:c r="E12" s="36" t="n">
        <x:v>7</x:v>
      </x:c>
      <x:c r="F12" s="36" t="n">
        <x:v>0</x:v>
      </x:c>
      <x:c r="G12" s="48" t="n">
        <x:f>SUM(D12:F12)</x:f>
        <x:v>17</x:v>
      </x:c>
      <x:c r="H12" s="36" t="n">
        <x:v>55</x:v>
      </x:c>
      <x:c r="I12" s="36" t="n">
        <x:v>12</x:v>
      </x:c>
      <x:c r="J12" s="36" t="n">
        <x:v>20</x:v>
      </x:c>
      <x:c r="K12" s="36" t="n">
        <x:v>10</x:v>
      </x:c>
      <x:c r="L12" s="36" t="n">
        <x:v>7</x:v>
      </x:c>
      <x:c r="M12" s="48" t="n">
        <x:f>G12-SUM(H12:L12)</x:f>
        <x:v>-87</x:v>
      </x:c>
      <x:c r="N12" s="36" t="n">
        <x:v>0</x:v>
      </x:c>
      <x:c r="O12" s="36" t="n">
        <x:v>0</x:v>
      </x:c>
      <x:c r="P12" s="48" t="n">
        <x:f>P11+O12+M12-N12</x:f>
        <x:v>405</x:v>
      </x:c>
      <x:c r="Q12" s="11"/>
      <x:c r="R12" s="11"/>
      <x:c r="S12" s="11"/>
      <x:c r="T12" s="11"/>
      <x:c r="U12" s="11"/>
      <x:c r="V12" s="11"/>
      <x:c r="W12" s="11"/>
      <x:c r="X12" s="11"/>
      <x:c r="Y12" s="11"/>
      <x:c r="Z12" s="11"/>
    </x:row>
    <x:row r="13">
      <x:c r="A13" s="73" t="n">
        <x:v>46266</x:v>
      </x:c>
      <x:c r="B13" s="34" t="n">
        <x:v>3</x:v>
      </x:c>
      <x:c r="C13" s="36" t="n">
        <x:v>5</x:v>
      </x:c>
      <x:c r="D13" s="48" t="n">
        <x:f>B13*C13</x:f>
        <x:v>15</x:v>
      </x:c>
      <x:c r="E13" s="36" t="n">
        <x:v>9</x:v>
      </x:c>
      <x:c r="F13" s="36" t="n">
        <x:v>0</x:v>
      </x:c>
      <x:c r="G13" s="48" t="n">
        <x:f>SUM(D13:F13)</x:f>
        <x:v>24</x:v>
      </x:c>
      <x:c r="H13" s="36" t="n">
        <x:v>55</x:v>
      </x:c>
      <x:c r="I13" s="36" t="n">
        <x:v>12</x:v>
      </x:c>
      <x:c r="J13" s="36" t="n">
        <x:v>20</x:v>
      </x:c>
      <x:c r="K13" s="36" t="n">
        <x:v>10</x:v>
      </x:c>
      <x:c r="L13" s="36" t="n">
        <x:v>7</x:v>
      </x:c>
      <x:c r="M13" s="48" t="n">
        <x:f>G13-SUM(H13:L13)</x:f>
        <x:v>-80</x:v>
      </x:c>
      <x:c r="N13" s="36" t="n">
        <x:v>0</x:v>
      </x:c>
      <x:c r="O13" s="36" t="n">
        <x:v>0</x:v>
      </x:c>
      <x:c r="P13" s="48" t="n">
        <x:f>P12+O13+M13-N13</x:f>
        <x:v>325</x:v>
      </x:c>
      <x:c r="Q13" s="11"/>
      <x:c r="R13" s="11"/>
      <x:c r="S13" s="11"/>
      <x:c r="T13" s="11"/>
      <x:c r="U13" s="11"/>
      <x:c r="V13" s="11"/>
      <x:c r="W13" s="11"/>
      <x:c r="X13" s="11"/>
      <x:c r="Y13" s="11"/>
      <x:c r="Z13" s="11"/>
    </x:row>
    <x:row r="14">
      <x:c r="A14" s="73" t="n">
        <x:v>46296</x:v>
      </x:c>
      <x:c r="B14" s="34" t="n">
        <x:v>3</x:v>
      </x:c>
      <x:c r="C14" s="36" t="n">
        <x:v>5</x:v>
      </x:c>
      <x:c r="D14" s="48" t="n">
        <x:f>B14*C14</x:f>
        <x:v>15</x:v>
      </x:c>
      <x:c r="E14" s="36" t="n">
        <x:v>12</x:v>
      </x:c>
      <x:c r="F14" s="36" t="n">
        <x:v>20</x:v>
      </x:c>
      <x:c r="G14" s="48" t="n">
        <x:f>SUM(D14:F14)</x:f>
        <x:v>47</x:v>
      </x:c>
      <x:c r="H14" s="36" t="n">
        <x:v>55</x:v>
      </x:c>
      <x:c r="I14" s="36" t="n">
        <x:v>12</x:v>
      </x:c>
      <x:c r="J14" s="36" t="n">
        <x:v>20</x:v>
      </x:c>
      <x:c r="K14" s="36" t="n">
        <x:v>10</x:v>
      </x:c>
      <x:c r="L14" s="36" t="n">
        <x:v>7</x:v>
      </x:c>
      <x:c r="M14" s="48" t="n">
        <x:f>G14-SUM(H14:L14)</x:f>
        <x:v>-57</x:v>
      </x:c>
      <x:c r="N14" s="36" t="n">
        <x:v>60</x:v>
      </x:c>
      <x:c r="O14" s="36" t="n">
        <x:v>0</x:v>
      </x:c>
      <x:c r="P14" s="48" t="n">
        <x:f>P13+O14+M14-N14</x:f>
        <x:v>208</x:v>
      </x:c>
      <x:c r="Q14" s="11"/>
      <x:c r="R14" s="11"/>
      <x:c r="S14" s="11"/>
      <x:c r="T14" s="11"/>
      <x:c r="U14" s="11"/>
      <x:c r="V14" s="11"/>
      <x:c r="W14" s="11"/>
      <x:c r="X14" s="11"/>
      <x:c r="Y14" s="11"/>
      <x:c r="Z14" s="11"/>
    </x:row>
    <x:row r="15">
      <x:c r="A15" s="73" t="n">
        <x:v>46327</x:v>
      </x:c>
      <x:c r="B15" s="34" t="n">
        <x:v>4</x:v>
      </x:c>
      <x:c r="C15" s="36" t="n">
        <x:v>5</x:v>
      </x:c>
      <x:c r="D15" s="48" t="n">
        <x:f>B15*C15</x:f>
        <x:v>20</x:v>
      </x:c>
      <x:c r="E15" s="36" t="n">
        <x:v>15</x:v>
      </x:c>
      <x:c r="F15" s="36" t="n">
        <x:v>0</x:v>
      </x:c>
      <x:c r="G15" s="48" t="n">
        <x:f>SUM(D15:F15)</x:f>
        <x:v>35</x:v>
      </x:c>
      <x:c r="H15" s="36" t="n">
        <x:v>55</x:v>
      </x:c>
      <x:c r="I15" s="36" t="n">
        <x:v>12</x:v>
      </x:c>
      <x:c r="J15" s="36" t="n">
        <x:v>20</x:v>
      </x:c>
      <x:c r="K15" s="36" t="n">
        <x:v>10</x:v>
      </x:c>
      <x:c r="L15" s="36" t="n">
        <x:v>7</x:v>
      </x:c>
      <x:c r="M15" s="48" t="n">
        <x:f>G15-SUM(H15:L15)</x:f>
        <x:v>-69</x:v>
      </x:c>
      <x:c r="N15" s="36" t="n">
        <x:v>0</x:v>
      </x:c>
      <x:c r="O15" s="36" t="n">
        <x:v>0</x:v>
      </x:c>
      <x:c r="P15" s="48" t="n">
        <x:f>P14+O15+M15-N15</x:f>
        <x:v>139</x:v>
      </x:c>
      <x:c r="Q15" s="11"/>
      <x:c r="R15" s="11"/>
      <x:c r="S15" s="11"/>
      <x:c r="T15" s="11"/>
      <x:c r="U15" s="11"/>
      <x:c r="V15" s="11"/>
      <x:c r="W15" s="11"/>
      <x:c r="X15" s="11"/>
      <x:c r="Y15" s="11"/>
      <x:c r="Z15" s="11"/>
    </x:row>
    <x:row r="16">
      <x:c r="A16" s="73" t="n">
        <x:v>46357</x:v>
      </x:c>
      <x:c r="B16" s="34" t="n">
        <x:v>4</x:v>
      </x:c>
      <x:c r="C16" s="36" t="n">
        <x:v>5</x:v>
      </x:c>
      <x:c r="D16" s="48" t="n">
        <x:f>B16*C16</x:f>
        <x:v>20</x:v>
      </x:c>
      <x:c r="E16" s="36" t="n">
        <x:v>18</x:v>
      </x:c>
      <x:c r="F16" s="36" t="n">
        <x:v>0</x:v>
      </x:c>
      <x:c r="G16" s="48" t="n">
        <x:f>SUM(D16:F16)</x:f>
        <x:v>38</x:v>
      </x:c>
      <x:c r="H16" s="36" t="n">
        <x:v>55</x:v>
      </x:c>
      <x:c r="I16" s="36" t="n">
        <x:v>12</x:v>
      </x:c>
      <x:c r="J16" s="36" t="n">
        <x:v>20</x:v>
      </x:c>
      <x:c r="K16" s="36" t="n">
        <x:v>10</x:v>
      </x:c>
      <x:c r="L16" s="36" t="n">
        <x:v>7</x:v>
      </x:c>
      <x:c r="M16" s="48" t="n">
        <x:f>G16-SUM(H16:L16)</x:f>
        <x:v>-66</x:v>
      </x:c>
      <x:c r="N16" s="36" t="n">
        <x:v>0</x:v>
      </x:c>
      <x:c r="O16" s="36" t="n">
        <x:v>0</x:v>
      </x:c>
      <x:c r="P16" s="48" t="n">
        <x:f>P15+O16+M16-N16</x:f>
        <x:v>73</x:v>
      </x:c>
      <x:c r="Q16" s="11"/>
      <x:c r="R16" s="11"/>
      <x:c r="S16" s="11"/>
      <x:c r="T16" s="11"/>
      <x:c r="U16" s="11"/>
      <x:c r="V16" s="11"/>
      <x:c r="W16" s="11"/>
      <x:c r="X16" s="11"/>
      <x:c r="Y16" s="11"/>
      <x:c r="Z16" s="11"/>
    </x:row>
    <x:row r="17">
      <x:c r="A17" s="73" t="n">
        <x:v>46388</x:v>
      </x:c>
      <x:c r="B17" s="34" t="n">
        <x:v>6</x:v>
      </x:c>
      <x:c r="C17" s="36" t="n">
        <x:v>6.5</x:v>
      </x:c>
      <x:c r="D17" s="48" t="n">
        <x:f>B17*C17</x:f>
        <x:v>39</x:v>
      </x:c>
      <x:c r="E17" s="36" t="n">
        <x:v>22</x:v>
      </x:c>
      <x:c r="F17" s="36" t="n">
        <x:v>30</x:v>
      </x:c>
      <x:c r="G17" s="48" t="n">
        <x:f>SUM(D17:F17)</x:f>
        <x:v>91</x:v>
      </x:c>
      <x:c r="H17" s="36" t="n">
        <x:v>70</x:v>
      </x:c>
      <x:c r="I17" s="36" t="n">
        <x:v>15</x:v>
      </x:c>
      <x:c r="J17" s="36" t="n">
        <x:v>15</x:v>
      </x:c>
      <x:c r="K17" s="36" t="n">
        <x:v>10</x:v>
      </x:c>
      <x:c r="L17" s="36" t="n">
        <x:v>12.5</x:v>
      </x:c>
      <x:c r="M17" s="48" t="n">
        <x:f>G17-SUM(H17:L17)</x:f>
        <x:v>-31.5</x:v>
      </x:c>
      <x:c r="N17" s="36" t="n">
        <x:v>50</x:v>
      </x:c>
      <x:c r="O17" s="36" t="n">
        <x:v>500</x:v>
      </x:c>
      <x:c r="P17" s="48" t="n">
        <x:f>P16+O17+M17-N17</x:f>
        <x:v>491.5</x:v>
      </x:c>
      <x:c r="Q17" s="11"/>
      <x:c r="R17" s="11"/>
      <x:c r="S17" s="11"/>
      <x:c r="T17" s="11"/>
      <x:c r="U17" s="11"/>
      <x:c r="V17" s="11"/>
      <x:c r="W17" s="11"/>
      <x:c r="X17" s="11"/>
      <x:c r="Y17" s="11"/>
      <x:c r="Z17" s="11"/>
    </x:row>
    <x:row r="18">
      <x:c r="A18" s="73" t="n">
        <x:v>46419</x:v>
      </x:c>
      <x:c r="B18" s="34" t="n">
        <x:v>6</x:v>
      </x:c>
      <x:c r="C18" s="36" t="n">
        <x:v>6.5</x:v>
      </x:c>
      <x:c r="D18" s="48" t="n">
        <x:f>B18*C18</x:f>
        <x:v>39</x:v>
      </x:c>
      <x:c r="E18" s="36" t="n">
        <x:v>24</x:v>
      </x:c>
      <x:c r="F18" s="36" t="n">
        <x:v>0</x:v>
      </x:c>
      <x:c r="G18" s="48" t="n">
        <x:f>SUM(D18:F18)</x:f>
        <x:v>63</x:v>
      </x:c>
      <x:c r="H18" s="36" t="n">
        <x:v>70</x:v>
      </x:c>
      <x:c r="I18" s="36" t="n">
        <x:v>15</x:v>
      </x:c>
      <x:c r="J18" s="36" t="n">
        <x:v>15</x:v>
      </x:c>
      <x:c r="K18" s="36" t="n">
        <x:v>10</x:v>
      </x:c>
      <x:c r="L18" s="36" t="n">
        <x:v>12.5</x:v>
      </x:c>
      <x:c r="M18" s="48" t="n">
        <x:f>G18-SUM(H18:L18)</x:f>
        <x:v>-59.5</x:v>
      </x:c>
      <x:c r="N18" s="36" t="n">
        <x:v>0</x:v>
      </x:c>
      <x:c r="O18" s="36" t="n">
        <x:v>0</x:v>
      </x:c>
      <x:c r="P18" s="48" t="n">
        <x:f>P17+O18+M18-N18</x:f>
        <x:v>432</x:v>
      </x:c>
      <x:c r="Q18" s="11"/>
      <x:c r="R18" s="11"/>
      <x:c r="S18" s="11"/>
      <x:c r="T18" s="11"/>
      <x:c r="U18" s="11"/>
      <x:c r="V18" s="11"/>
      <x:c r="W18" s="11"/>
      <x:c r="X18" s="11"/>
      <x:c r="Y18" s="11"/>
      <x:c r="Z18" s="11"/>
    </x:row>
    <x:row r="19">
      <x:c r="A19" s="73" t="n">
        <x:v>46447</x:v>
      </x:c>
      <x:c r="B19" s="34" t="n">
        <x:v>7</x:v>
      </x:c>
      <x:c r="C19" s="36" t="n">
        <x:v>6.5</x:v>
      </x:c>
      <x:c r="D19" s="48" t="n">
        <x:f>B19*C19</x:f>
        <x:v>45.5</x:v>
      </x:c>
      <x:c r="E19" s="36" t="n">
        <x:v>26</x:v>
      </x:c>
      <x:c r="F19" s="36" t="n">
        <x:v>30</x:v>
      </x:c>
      <x:c r="G19" s="48" t="n">
        <x:f>SUM(D19:F19)</x:f>
        <x:v>101.5</x:v>
      </x:c>
      <x:c r="H19" s="36" t="n">
        <x:v>70</x:v>
      </x:c>
      <x:c r="I19" s="36" t="n">
        <x:v>15</x:v>
      </x:c>
      <x:c r="J19" s="36" t="n">
        <x:v>15</x:v>
      </x:c>
      <x:c r="K19" s="36" t="n">
        <x:v>10</x:v>
      </x:c>
      <x:c r="L19" s="36" t="n">
        <x:v>12.5</x:v>
      </x:c>
      <x:c r="M19" s="48" t="n">
        <x:f>G19-SUM(H19:L19)</x:f>
        <x:v>-21</x:v>
      </x:c>
      <x:c r="N19" s="36" t="n">
        <x:v>0</x:v>
      </x:c>
      <x:c r="O19" s="36" t="n">
        <x:v>0</x:v>
      </x:c>
      <x:c r="P19" s="48" t="n">
        <x:f>P18+O19+M19-N19</x:f>
        <x:v>411</x:v>
      </x:c>
      <x:c r="Q19" s="11"/>
      <x:c r="R19" s="11"/>
      <x:c r="S19" s="11"/>
      <x:c r="T19" s="11"/>
      <x:c r="U19" s="11"/>
      <x:c r="V19" s="11"/>
      <x:c r="W19" s="11"/>
      <x:c r="X19" s="11"/>
      <x:c r="Y19" s="11"/>
      <x:c r="Z19" s="11"/>
    </x:row>
    <x:row r="20">
      <x:c r="A20" s="73" t="n">
        <x:v>46478</x:v>
      </x:c>
      <x:c r="B20" s="34" t="n">
        <x:v>7</x:v>
      </x:c>
      <x:c r="C20" s="36" t="n">
        <x:v>6.5</x:v>
      </x:c>
      <x:c r="D20" s="48" t="n">
        <x:f>B20*C20</x:f>
        <x:v>45.5</x:v>
      </x:c>
      <x:c r="E20" s="36" t="n">
        <x:v>28</x:v>
      </x:c>
      <x:c r="F20" s="36" t="n">
        <x:v>0</x:v>
      </x:c>
      <x:c r="G20" s="48" t="n">
        <x:f>SUM(D20:F20)</x:f>
        <x:v>73.5</x:v>
      </x:c>
      <x:c r="H20" s="36" t="n">
        <x:v>70</x:v>
      </x:c>
      <x:c r="I20" s="36" t="n">
        <x:v>15</x:v>
      </x:c>
      <x:c r="J20" s="36" t="n">
        <x:v>15</x:v>
      </x:c>
      <x:c r="K20" s="36" t="n">
        <x:v>10</x:v>
      </x:c>
      <x:c r="L20" s="36" t="n">
        <x:v>12.5</x:v>
      </x:c>
      <x:c r="M20" s="48" t="n">
        <x:f>G20-SUM(H20:L20)</x:f>
        <x:v>-49</x:v>
      </x:c>
      <x:c r="N20" s="36" t="n">
        <x:v>0</x:v>
      </x:c>
      <x:c r="O20" s="36" t="n">
        <x:v>0</x:v>
      </x:c>
      <x:c r="P20" s="48" t="n">
        <x:f>P19+O20+M20-N20</x:f>
        <x:v>362</x:v>
      </x:c>
      <x:c r="Q20" s="11"/>
      <x:c r="R20" s="11"/>
      <x:c r="S20" s="11"/>
      <x:c r="T20" s="11"/>
      <x:c r="U20" s="11"/>
      <x:c r="V20" s="11"/>
      <x:c r="W20" s="11"/>
      <x:c r="X20" s="11"/>
      <x:c r="Y20" s="11"/>
      <x:c r="Z20" s="11"/>
    </x:row>
    <x:row r="21">
      <x:c r="A21" s="73" t="n">
        <x:v>46508</x:v>
      </x:c>
      <x:c r="B21" s="34" t="n">
        <x:v>8</x:v>
      </x:c>
      <x:c r="C21" s="36" t="n">
        <x:v>6.5</x:v>
      </x:c>
      <x:c r="D21" s="48" t="n">
        <x:f>B21*C21</x:f>
        <x:v>52</x:v>
      </x:c>
      <x:c r="E21" s="36" t="n">
        <x:v>30</x:v>
      </x:c>
      <x:c r="F21" s="36" t="n">
        <x:v>30</x:v>
      </x:c>
      <x:c r="G21" s="48" t="n">
        <x:f>SUM(D21:F21)</x:f>
        <x:v>112</x:v>
      </x:c>
      <x:c r="H21" s="36" t="n">
        <x:v>70</x:v>
      </x:c>
      <x:c r="I21" s="36" t="n">
        <x:v>15</x:v>
      </x:c>
      <x:c r="J21" s="36" t="n">
        <x:v>15</x:v>
      </x:c>
      <x:c r="K21" s="36" t="n">
        <x:v>10</x:v>
      </x:c>
      <x:c r="L21" s="36" t="n">
        <x:v>12.5</x:v>
      </x:c>
      <x:c r="M21" s="48" t="n">
        <x:f>G21-SUM(H21:L21)</x:f>
        <x:v>-10.5</x:v>
      </x:c>
      <x:c r="N21" s="36" t="n">
        <x:v>50</x:v>
      </x:c>
      <x:c r="O21" s="36" t="n">
        <x:v>0</x:v>
      </x:c>
      <x:c r="P21" s="48" t="n">
        <x:f>P20+O21+M21-N21</x:f>
        <x:v>301.5</x:v>
      </x:c>
      <x:c r="Q21" s="11"/>
      <x:c r="R21" s="11"/>
      <x:c r="S21" s="11"/>
      <x:c r="T21" s="11"/>
      <x:c r="U21" s="11"/>
      <x:c r="V21" s="11"/>
      <x:c r="W21" s="11"/>
      <x:c r="X21" s="11"/>
      <x:c r="Y21" s="11"/>
      <x:c r="Z21" s="11"/>
    </x:row>
    <x:row r="22">
      <x:c r="A22" s="73" t="n">
        <x:v>46539</x:v>
      </x:c>
      <x:c r="B22" s="34" t="n">
        <x:v>8</x:v>
      </x:c>
      <x:c r="C22" s="36" t="n">
        <x:v>6.5</x:v>
      </x:c>
      <x:c r="D22" s="48" t="n">
        <x:f>B22*C22</x:f>
        <x:v>52</x:v>
      </x:c>
      <x:c r="E22" s="36" t="n">
        <x:v>32</x:v>
      </x:c>
      <x:c r="F22" s="36" t="n">
        <x:v>0</x:v>
      </x:c>
      <x:c r="G22" s="48" t="n">
        <x:f>SUM(D22:F22)</x:f>
        <x:v>84</x:v>
      </x:c>
      <x:c r="H22" s="36" t="n">
        <x:v>70</x:v>
      </x:c>
      <x:c r="I22" s="36" t="n">
        <x:v>15</x:v>
      </x:c>
      <x:c r="J22" s="36" t="n">
        <x:v>15</x:v>
      </x:c>
      <x:c r="K22" s="36" t="n">
        <x:v>10</x:v>
      </x:c>
      <x:c r="L22" s="36" t="n">
        <x:v>12.5</x:v>
      </x:c>
      <x:c r="M22" s="48" t="n">
        <x:f>G22-SUM(H22:L22)</x:f>
        <x:v>-38.5</x:v>
      </x:c>
      <x:c r="N22" s="36" t="n">
        <x:v>0</x:v>
      </x:c>
      <x:c r="O22" s="36" t="n">
        <x:v>0</x:v>
      </x:c>
      <x:c r="P22" s="48" t="n">
        <x:f>P21+O22+M22-N22</x:f>
        <x:v>263</x:v>
      </x:c>
      <x:c r="Q22" s="11"/>
      <x:c r="R22" s="11"/>
      <x:c r="S22" s="11"/>
      <x:c r="T22" s="11"/>
      <x:c r="U22" s="11"/>
      <x:c r="V22" s="11"/>
      <x:c r="W22" s="11"/>
      <x:c r="X22" s="11"/>
      <x:c r="Y22" s="11"/>
      <x:c r="Z22" s="11"/>
    </x:row>
    <x:row r="23">
      <x:c r="A23" s="73" t="n">
        <x:v>46569</x:v>
      </x:c>
      <x:c r="B23" s="34" t="n">
        <x:v>8</x:v>
      </x:c>
      <x:c r="C23" s="36" t="n">
        <x:v>6.5</x:v>
      </x:c>
      <x:c r="D23" s="48" t="n">
        <x:f>B23*C23</x:f>
        <x:v>52</x:v>
      </x:c>
      <x:c r="E23" s="36" t="n">
        <x:v>34</x:v>
      </x:c>
      <x:c r="F23" s="36" t="n">
        <x:v>30</x:v>
      </x:c>
      <x:c r="G23" s="48" t="n">
        <x:f>SUM(D23:F23)</x:f>
        <x:v>116</x:v>
      </x:c>
      <x:c r="H23" s="36" t="n">
        <x:v>70</x:v>
      </x:c>
      <x:c r="I23" s="36" t="n">
        <x:v>15</x:v>
      </x:c>
      <x:c r="J23" s="36" t="n">
        <x:v>20</x:v>
      </x:c>
      <x:c r="K23" s="36" t="n">
        <x:v>10</x:v>
      </x:c>
      <x:c r="L23" s="36" t="n">
        <x:v>12.5</x:v>
      </x:c>
      <x:c r="M23" s="48" t="n">
        <x:f>G23-SUM(H23:L23)</x:f>
        <x:v>-11.5</x:v>
      </x:c>
      <x:c r="N23" s="36" t="n">
        <x:v>0</x:v>
      </x:c>
      <x:c r="O23" s="36" t="n">
        <x:v>0</x:v>
      </x:c>
      <x:c r="P23" s="48" t="n">
        <x:f>P22+O23+M23-N23</x:f>
        <x:v>251.5</x:v>
      </x:c>
      <x:c r="Q23" s="11"/>
      <x:c r="R23" s="11"/>
      <x:c r="S23" s="11"/>
      <x:c r="T23" s="11"/>
      <x:c r="U23" s="11"/>
      <x:c r="V23" s="11"/>
      <x:c r="W23" s="11"/>
      <x:c r="X23" s="11"/>
      <x:c r="Y23" s="11"/>
      <x:c r="Z23" s="11"/>
    </x:row>
    <x:row r="24">
      <x:c r="A24" s="73" t="n">
        <x:v>46600</x:v>
      </x:c>
      <x:c r="B24" s="34" t="n">
        <x:v>8</x:v>
      </x:c>
      <x:c r="C24" s="36" t="n">
        <x:v>6.5</x:v>
      </x:c>
      <x:c r="D24" s="48" t="n">
        <x:f>B24*C24</x:f>
        <x:v>52</x:v>
      </x:c>
      <x:c r="E24" s="36" t="n">
        <x:v>34</x:v>
      </x:c>
      <x:c r="F24" s="36" t="n">
        <x:v>0</x:v>
      </x:c>
      <x:c r="G24" s="48" t="n">
        <x:f>SUM(D24:F24)</x:f>
        <x:v>86</x:v>
      </x:c>
      <x:c r="H24" s="36" t="n">
        <x:v>70</x:v>
      </x:c>
      <x:c r="I24" s="36" t="n">
        <x:v>15</x:v>
      </x:c>
      <x:c r="J24" s="36" t="n">
        <x:v>20</x:v>
      </x:c>
      <x:c r="K24" s="36" t="n">
        <x:v>10</x:v>
      </x:c>
      <x:c r="L24" s="36" t="n">
        <x:v>12.5</x:v>
      </x:c>
      <x:c r="M24" s="48" t="n">
        <x:f>G24-SUM(H24:L24)</x:f>
        <x:v>-41.5</x:v>
      </x:c>
      <x:c r="N24" s="36" t="n">
        <x:v>0</x:v>
      </x:c>
      <x:c r="O24" s="36" t="n">
        <x:v>0</x:v>
      </x:c>
      <x:c r="P24" s="48" t="n">
        <x:f>P23+O24+M24-N24</x:f>
        <x:v>210</x:v>
      </x:c>
      <x:c r="Q24" s="11"/>
      <x:c r="R24" s="11"/>
      <x:c r="S24" s="11"/>
      <x:c r="T24" s="11"/>
      <x:c r="U24" s="11"/>
      <x:c r="V24" s="11"/>
      <x:c r="W24" s="11"/>
      <x:c r="X24" s="11"/>
      <x:c r="Y24" s="11"/>
      <x:c r="Z24" s="11"/>
    </x:row>
    <x:row r="25">
      <x:c r="A25" s="73" t="n">
        <x:v>46631</x:v>
      </x:c>
      <x:c r="B25" s="34" t="n">
        <x:v>9</x:v>
      </x:c>
      <x:c r="C25" s="36" t="n">
        <x:v>6.5</x:v>
      </x:c>
      <x:c r="D25" s="48" t="n">
        <x:f>B25*C25</x:f>
        <x:v>58.5</x:v>
      </x:c>
      <x:c r="E25" s="36" t="n">
        <x:v>38</x:v>
      </x:c>
      <x:c r="F25" s="36" t="n">
        <x:v>30</x:v>
      </x:c>
      <x:c r="G25" s="48" t="n">
        <x:f>SUM(D25:F25)</x:f>
        <x:v>126.5</x:v>
      </x:c>
      <x:c r="H25" s="36" t="n">
        <x:v>70</x:v>
      </x:c>
      <x:c r="I25" s="36" t="n">
        <x:v>15</x:v>
      </x:c>
      <x:c r="J25" s="36" t="n">
        <x:v>20</x:v>
      </x:c>
      <x:c r="K25" s="36" t="n">
        <x:v>10</x:v>
      </x:c>
      <x:c r="L25" s="36" t="n">
        <x:v>12.5</x:v>
      </x:c>
      <x:c r="M25" s="48" t="n">
        <x:f>G25-SUM(H25:L25)</x:f>
        <x:v>-1</x:v>
      </x:c>
      <x:c r="N25" s="36" t="n">
        <x:v>50</x:v>
      </x:c>
      <x:c r="O25" s="36" t="n">
        <x:v>0</x:v>
      </x:c>
      <x:c r="P25" s="48" t="n">
        <x:f>P24+O25+M25-N25</x:f>
        <x:v>159</x:v>
      </x:c>
      <x:c r="Q25" s="11"/>
      <x:c r="R25" s="11"/>
      <x:c r="S25" s="11"/>
      <x:c r="T25" s="11"/>
      <x:c r="U25" s="11"/>
      <x:c r="V25" s="11"/>
      <x:c r="W25" s="11"/>
      <x:c r="X25" s="11"/>
      <x:c r="Y25" s="11"/>
      <x:c r="Z25" s="11"/>
    </x:row>
    <x:row r="26">
      <x:c r="A26" s="73" t="n">
        <x:v>46661</x:v>
      </x:c>
      <x:c r="B26" s="34" t="n">
        <x:v>9</x:v>
      </x:c>
      <x:c r="C26" s="36" t="n">
        <x:v>6.5</x:v>
      </x:c>
      <x:c r="D26" s="48" t="n">
        <x:f>B26*C26</x:f>
        <x:v>58.5</x:v>
      </x:c>
      <x:c r="E26" s="36" t="n">
        <x:v>40</x:v>
      </x:c>
      <x:c r="F26" s="36" t="n">
        <x:v>0</x:v>
      </x:c>
      <x:c r="G26" s="48" t="n">
        <x:f>SUM(D26:F26)</x:f>
        <x:v>98.5</x:v>
      </x:c>
      <x:c r="H26" s="36" t="n">
        <x:v>70</x:v>
      </x:c>
      <x:c r="I26" s="36" t="n">
        <x:v>15</x:v>
      </x:c>
      <x:c r="J26" s="36" t="n">
        <x:v>20</x:v>
      </x:c>
      <x:c r="K26" s="36" t="n">
        <x:v>10</x:v>
      </x:c>
      <x:c r="L26" s="36" t="n">
        <x:v>12.5</x:v>
      </x:c>
      <x:c r="M26" s="48" t="n">
        <x:f>G26-SUM(H26:L26)</x:f>
        <x:v>-29</x:v>
      </x:c>
      <x:c r="N26" s="36" t="n">
        <x:v>0</x:v>
      </x:c>
      <x:c r="O26" s="36" t="n">
        <x:v>0</x:v>
      </x:c>
      <x:c r="P26" s="48" t="n">
        <x:f>P25+O26+M26-N26</x:f>
        <x:v>130</x:v>
      </x:c>
      <x:c r="Q26" s="11"/>
      <x:c r="R26" s="11"/>
      <x:c r="S26" s="11"/>
      <x:c r="T26" s="11"/>
      <x:c r="U26" s="11"/>
      <x:c r="V26" s="11"/>
      <x:c r="W26" s="11"/>
      <x:c r="X26" s="11"/>
      <x:c r="Y26" s="11"/>
      <x:c r="Z26" s="11"/>
    </x:row>
    <x:row r="27">
      <x:c r="A27" s="73" t="n">
        <x:v>46692</x:v>
      </x:c>
      <x:c r="B27" s="34" t="n">
        <x:v>10</x:v>
      </x:c>
      <x:c r="C27" s="36" t="n">
        <x:v>6.5</x:v>
      </x:c>
      <x:c r="D27" s="48" t="n">
        <x:f>B27*C27</x:f>
        <x:v>65</x:v>
      </x:c>
      <x:c r="E27" s="36" t="n">
        <x:v>42</x:v>
      </x:c>
      <x:c r="F27" s="36" t="n">
        <x:v>30</x:v>
      </x:c>
      <x:c r="G27" s="48" t="n">
        <x:f>SUM(D27:F27)</x:f>
        <x:v>137</x:v>
      </x:c>
      <x:c r="H27" s="36" t="n">
        <x:v>70</x:v>
      </x:c>
      <x:c r="I27" s="36" t="n">
        <x:v>15</x:v>
      </x:c>
      <x:c r="J27" s="36" t="n">
        <x:v>20</x:v>
      </x:c>
      <x:c r="K27" s="36" t="n">
        <x:v>10</x:v>
      </x:c>
      <x:c r="L27" s="36" t="n">
        <x:v>12.5</x:v>
      </x:c>
      <x:c r="M27" s="48" t="n">
        <x:f>G27-SUM(H27:L27)</x:f>
        <x:v>9.5</x:v>
      </x:c>
      <x:c r="N27" s="36" t="n">
        <x:v>0</x:v>
      </x:c>
      <x:c r="O27" s="36" t="n">
        <x:v>0</x:v>
      </x:c>
      <x:c r="P27" s="48" t="n">
        <x:f>P26+O27+M27-N27</x:f>
        <x:v>139.5</x:v>
      </x:c>
      <x:c r="Q27" s="11"/>
      <x:c r="R27" s="11"/>
      <x:c r="S27" s="11"/>
      <x:c r="T27" s="11"/>
      <x:c r="U27" s="11"/>
      <x:c r="V27" s="11"/>
      <x:c r="W27" s="11"/>
      <x:c r="X27" s="11"/>
      <x:c r="Y27" s="11"/>
      <x:c r="Z27" s="11"/>
    </x:row>
    <x:row r="28">
      <x:c r="A28" s="73" t="n">
        <x:v>46722</x:v>
      </x:c>
      <x:c r="B28" s="34" t="n">
        <x:v>10</x:v>
      </x:c>
      <x:c r="C28" s="36" t="n">
        <x:v>6.5</x:v>
      </x:c>
      <x:c r="D28" s="48" t="n">
        <x:f>B28*C28</x:f>
        <x:v>65</x:v>
      </x:c>
      <x:c r="E28" s="36" t="n">
        <x:v>46</x:v>
      </x:c>
      <x:c r="F28" s="36" t="n">
        <x:v>0</x:v>
      </x:c>
      <x:c r="G28" s="48" t="n">
        <x:f>SUM(D28:F28)</x:f>
        <x:v>111</x:v>
      </x:c>
      <x:c r="H28" s="36" t="n">
        <x:v>70</x:v>
      </x:c>
      <x:c r="I28" s="36" t="n">
        <x:v>15</x:v>
      </x:c>
      <x:c r="J28" s="36" t="n">
        <x:v>20</x:v>
      </x:c>
      <x:c r="K28" s="36" t="n">
        <x:v>10</x:v>
      </x:c>
      <x:c r="L28" s="36" t="n">
        <x:v>12.5</x:v>
      </x:c>
      <x:c r="M28" s="48" t="n">
        <x:f>G28-SUM(H28:L28)</x:f>
        <x:v>-16.5</x:v>
      </x:c>
      <x:c r="N28" s="36" t="n">
        <x:v>0</x:v>
      </x:c>
      <x:c r="O28" s="36" t="n">
        <x:v>0</x:v>
      </x:c>
      <x:c r="P28" s="48" t="n">
        <x:f>P27+O28+M28-N28</x:f>
        <x:v>123</x:v>
      </x:c>
      <x:c r="Q28" s="11"/>
      <x:c r="R28" s="11"/>
      <x:c r="S28" s="11"/>
      <x:c r="T28" s="11"/>
      <x:c r="U28" s="11"/>
      <x:c r="V28" s="11"/>
      <x:c r="W28" s="11"/>
      <x:c r="X28" s="11"/>
      <x:c r="Y28" s="11"/>
      <x:c r="Z28" s="11"/>
    </x:row>
    <x:row r="29">
      <x:c r="A29" s="89" t="str">
        <x:v>Tổng / cuối kỳ</x:v>
      </x:c>
      <x:c r="B29" s="89"/>
      <x:c r="C29" s="89"/>
      <x:c r="D29" s="90" t="n">
        <x:f>SUM(D5:D28)</x:f>
        <x:v>714</x:v>
      </x:c>
      <x:c r="E29" s="90" t="n">
        <x:f>SUM(E5:E28)</x:f>
        <x:v>468</x:v>
      </x:c>
      <x:c r="F29" s="90" t="n">
        <x:f>SUM(F5:F28)</x:f>
        <x:v>250</x:v>
      </x:c>
      <x:c r="G29" s="90" t="n">
        <x:f>SUM(G5:G28)</x:f>
        <x:v>1432</x:v>
      </x:c>
      <x:c r="H29" s="90" t="n">
        <x:f>SUM(H5:H28)</x:f>
        <x:v>1440</x:v>
      </x:c>
      <x:c r="I29" s="90" t="n">
        <x:f>SUM(I5:I28)</x:f>
        <x:v>300</x:v>
      </x:c>
      <x:c r="J29" s="90" t="n">
        <x:f>SUM(J5:J28)</x:f>
        <x:v>435</x:v>
      </x:c>
      <x:c r="K29" s="90" t="n">
        <x:f>SUM(K5:K28)</x:f>
        <x:v>210</x:v>
      </x:c>
      <x:c r="L29" s="90" t="n">
        <x:f>SUM(L5:L28)</x:f>
        <x:v>234</x:v>
      </x:c>
      <x:c r="M29" s="90" t="n">
        <x:f>SUM(M5:M28)</x:f>
        <x:v>-1187</x:v>
      </x:c>
      <x:c r="N29" s="90" t="n">
        <x:f>SUM(N5:N28)</x:f>
        <x:v>490</x:v>
      </x:c>
      <x:c r="O29" s="90" t="n">
        <x:f>SUM(O5:O28)</x:f>
        <x:v>1800</x:v>
      </x:c>
      <x:c r="P29" s="90" t="n">
        <x:f>P28</x:f>
        <x:v>123</x:v>
      </x:c>
      <x:c r="Q29" s="11"/>
      <x:c r="R29" s="11"/>
      <x:c r="S29" s="11"/>
      <x:c r="T29" s="11"/>
      <x:c r="U29" s="11"/>
      <x:c r="V29" s="11"/>
      <x:c r="W29" s="11"/>
      <x:c r="X29" s="11"/>
      <x:c r="Y29" s="11"/>
      <x:c r="Z29" s="11"/>
    </x:row>
    <x:row r="30">
      <x:c r="A30" s="11"/>
      <x:c r="B30" s="11"/>
      <x:c r="C30" s="11"/>
      <x:c r="D30" s="11"/>
      <x:c r="E30" s="11"/>
      <x:c r="F30" s="11"/>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sheetData>
  <x:mergeCells>
    <x:mergeCell ref="A2:P2"/>
  </x:mergeCells>
  <x:conditionalFormatting sqref="P5:P28">
    <x:cfRule type="cellIs" dxfId="0" priority="1" operator="lessThan">
      <x:formula>0</x:formula>
    </x:cfRule>
  </x:conditionalFormatting>
  <x:pageMargins left="0.7" right="0.7" top="0.75" bottom="0.75" header="0.3" footer="0.3"/>
  <x:drawing xmlns:r="http://schemas.openxmlformats.org/officeDocument/2006/relationships" r:id="R8a47d5ae20fd44a3"/>
</x:worksheet>
</file>

<file path=xl/worksheets/sheet6.xml><?xml version="1.0" encoding="utf-8"?>
<x:worksheet xmlns:x="http://schemas.openxmlformats.org/spreadsheetml/2006/main">
  <x:sheetPr>
    <x:tabColor rgb="FF70AD47"/>
  </x:sheetPr>
  <x:sheetViews>
    <x:sheetView showGridLines="0" workbookViewId="0"/>
  </x:sheetViews>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23" hidden="0" customWidth="1"/>
    <x:col min="7" max="7" width="14" hidden="0" customWidth="1"/>
    <x:col min="8" max="8" width="55" hidden="0" customWidth="1"/>
  </x:cols>
  <x:sheetData>
    <x:row r="1">
      <x:c r="A1" s="11"/>
      <x:c r="B1" s="11"/>
      <x:c r="C1" s="11"/>
      <x:c r="D1" s="11"/>
      <x:c r="E1" s="11"/>
      <x:c r="F1" s="11"/>
      <x:c r="G1" s="11"/>
      <x:c r="H1" s="11"/>
      <x:c r="I1" s="11"/>
      <x:c r="J1" s="11"/>
      <x:c r="K1" s="11"/>
      <x:c r="L1" s="11"/>
      <x:c r="M1" s="11"/>
      <x:c r="N1" s="11"/>
      <x:c r="O1" s="11"/>
      <x:c r="P1" s="11"/>
      <x:c r="Q1" s="11"/>
      <x:c r="R1" s="11"/>
      <x:c r="S1" s="11"/>
      <x:c r="T1" s="11"/>
      <x:c r="U1" s="11"/>
      <x:c r="V1" s="11"/>
      <x:c r="W1" s="11"/>
      <x:c r="X1" s="11"/>
      <x:c r="Y1" s="11"/>
      <x:c r="Z1" s="11"/>
    </x:row>
    <x:row r="2" ht="26" customHeight="1">
      <x:c r="A2" s="3" t="str">
        <x:v>Kế hoạch huy động theo từng tranche</x:v>
      </x:c>
      <x:c r="B2" s="3" t="str">
        <x:v>Kế hoạch huy động theo từng tranche</x:v>
      </x:c>
      <x:c r="C2" s="3" t="str">
        <x:v>Kế hoạch huy động theo từng tranche</x:v>
      </x:c>
      <x:c r="D2" s="3" t="str">
        <x:v>Kế hoạch huy động theo từng tranche</x:v>
      </x:c>
      <x:c r="E2" s="3" t="str">
        <x:v>Kế hoạch huy động theo từng tranche</x:v>
      </x:c>
      <x:c r="F2" s="3" t="str">
        <x:v>Kế hoạch huy động theo từng tranche</x:v>
      </x:c>
      <x:c r="G2" s="3" t="str">
        <x:v>Kế hoạch huy động theo từng tranche</x:v>
      </x:c>
      <x:c r="H2" s="3" t="str">
        <x:v>Kế hoạch huy động theo từng tranche</x:v>
      </x:c>
      <x:c r="I2" s="11"/>
      <x:c r="J2" s="11"/>
      <x:c r="K2" s="11"/>
      <x:c r="L2" s="11"/>
      <x:c r="M2" s="11"/>
      <x:c r="N2" s="11"/>
      <x:c r="O2" s="11"/>
      <x:c r="P2" s="11"/>
      <x:c r="Q2" s="11"/>
      <x:c r="R2" s="11"/>
      <x:c r="S2" s="11"/>
      <x:c r="T2" s="11"/>
      <x:c r="U2" s="11"/>
      <x:c r="V2" s="11"/>
      <x:c r="W2" s="11"/>
      <x:c r="X2" s="11"/>
      <x:c r="Y2" s="11"/>
      <x:c r="Z2" s="11"/>
    </x:row>
    <x:row r="3">
      <x:c r="A3" s="87"/>
      <x:c r="B3" s="87"/>
      <x:c r="C3" s="87"/>
      <x:c r="D3" s="87"/>
      <x:c r="E3" s="87"/>
      <x:c r="F3" s="87"/>
      <x:c r="G3" s="87"/>
      <x:c r="H3" s="87"/>
      <x:c r="I3" s="11"/>
      <x:c r="J3" s="11"/>
      <x:c r="K3" s="11"/>
      <x:c r="L3" s="11"/>
      <x:c r="M3" s="11"/>
      <x:c r="N3" s="11"/>
      <x:c r="O3" s="11"/>
      <x:c r="P3" s="11"/>
      <x:c r="Q3" s="11"/>
      <x:c r="R3" s="11"/>
      <x:c r="S3" s="11"/>
      <x:c r="T3" s="11"/>
      <x:c r="U3" s="11"/>
      <x:c r="V3" s="11"/>
      <x:c r="W3" s="11"/>
      <x:c r="X3" s="11"/>
      <x:c r="Y3" s="11"/>
      <x:c r="Z3" s="11"/>
    </x:row>
    <x:row r="4">
      <x:c r="A4" s="10" t="str">
        <x:v>Tranche</x:v>
      </x:c>
      <x:c r="B4" s="10" t="str">
        <x:v>Thời điểm</x:v>
      </x:c>
      <x:c r="C4" s="10" t="str">
        <x:v>Nhà sáng lập</x:v>
      </x:c>
      <x:c r="D4" s="10" t="str">
        <x:v>Grant</x:v>
      </x:c>
      <x:c r="E4" s="10" t="str">
        <x:v>Angel/SAFE</x:v>
      </x:c>
      <x:c r="F4" s="10" t="str">
        <x:v>Đối tác chiến lược</x:v>
      </x:c>
      <x:c r="G4" s="10" t="str">
        <x:v>Tổng</x:v>
      </x:c>
      <x:c r="H4" s="10" t="str">
        <x:v>Điều kiện giải ngân</x:v>
      </x:c>
      <x:c r="I4" s="11"/>
      <x:c r="J4" s="11"/>
      <x:c r="K4" s="11"/>
      <x:c r="L4" s="11"/>
      <x:c r="M4" s="11"/>
      <x:c r="N4" s="11"/>
      <x:c r="O4" s="11"/>
      <x:c r="P4" s="11"/>
      <x:c r="Q4" s="11"/>
      <x:c r="R4" s="11"/>
      <x:c r="S4" s="11"/>
      <x:c r="T4" s="11"/>
      <x:c r="U4" s="11"/>
      <x:c r="V4" s="11"/>
      <x:c r="W4" s="11"/>
      <x:c r="X4" s="11"/>
      <x:c r="Y4" s="11"/>
      <x:c r="Z4" s="11"/>
    </x:row>
    <x:row r="5">
      <x:c r="A5" s="13" t="str">
        <x:v>Tranche 0</x:v>
      </x:c>
      <x:c r="B5" s="13" t="str">
        <x:v>Tháng 1</x:v>
      </x:c>
      <x:c r="C5" s="19" t="n">
        <x:v>150</x:v>
      </x:c>
      <x:c r="D5" s="19" t="n">
        <x:v>250</x:v>
      </x:c>
      <x:c r="E5" s="19" t="n">
        <x:v>300</x:v>
      </x:c>
      <x:c r="F5" s="19" t="n">
        <x:v>0</x:v>
      </x:c>
      <x:c r="G5" s="56" t="n">
        <x:f>SUM(C5:F5)</x:f>
        <x:v>700</x:v>
      </x:c>
      <x:c r="H5" s="13" t="str">
        <x:v>MVP ổn định, 3 đối tác pilot, danh sách 100 nông hộ tiềm năng</x:v>
      </x:c>
      <x:c r="I5" s="11"/>
      <x:c r="J5" s="11"/>
      <x:c r="K5" s="11"/>
      <x:c r="L5" s="11"/>
      <x:c r="M5" s="11"/>
      <x:c r="N5" s="11"/>
      <x:c r="O5" s="11"/>
      <x:c r="P5" s="11"/>
      <x:c r="Q5" s="11"/>
      <x:c r="R5" s="11"/>
      <x:c r="S5" s="11"/>
      <x:c r="T5" s="11"/>
      <x:c r="U5" s="11"/>
      <x:c r="V5" s="11"/>
      <x:c r="W5" s="11"/>
      <x:c r="X5" s="11"/>
      <x:c r="Y5" s="11"/>
      <x:c r="Z5" s="11"/>
    </x:row>
    <x:row r="6">
      <x:c r="A6" s="14" t="str">
        <x:v>Tranche 1</x:v>
      </x:c>
      <x:c r="B6" s="14" t="str">
        <x:v>Tháng 7</x:v>
      </x:c>
      <x:c r="C6" s="20" t="n">
        <x:v>0</x:v>
      </x:c>
      <x:c r="D6" s="20" t="n">
        <x:v>150</x:v>
      </x:c>
      <x:c r="E6" s="20" t="n">
        <x:v>300</x:v>
      </x:c>
      <x:c r="F6" s="20" t="n">
        <x:v>150</x:v>
      </x:c>
      <x:c r="G6" s="57" t="n">
        <x:f>SUM(C6:F6)</x:f>
        <x:v>600</x:v>
      </x:c>
      <x:c r="H6" s="14" t="str">
        <x:v>Tối thiểu 10 giao dịch hoàn tất, 2 doanh nghiệp bắt đầu trả phí, có dữ liệu pilot</x:v>
      </x:c>
      <x:c r="I6" s="11"/>
      <x:c r="J6" s="11"/>
      <x:c r="K6" s="11"/>
      <x:c r="L6" s="11"/>
      <x:c r="M6" s="11"/>
      <x:c r="N6" s="11"/>
      <x:c r="O6" s="11"/>
      <x:c r="P6" s="11"/>
      <x:c r="Q6" s="11"/>
      <x:c r="R6" s="11"/>
      <x:c r="S6" s="11"/>
      <x:c r="T6" s="11"/>
      <x:c r="U6" s="11"/>
      <x:c r="V6" s="11"/>
      <x:c r="W6" s="11"/>
      <x:c r="X6" s="11"/>
      <x:c r="Y6" s="11"/>
      <x:c r="Z6" s="11"/>
    </x:row>
    <x:row r="7">
      <x:c r="A7" s="14" t="str">
        <x:v>Tranche 2</x:v>
      </x:c>
      <x:c r="B7" s="14" t="str">
        <x:v>Tháng 13</x:v>
      </x:c>
      <x:c r="C7" s="20" t="n">
        <x:v>0</x:v>
      </x:c>
      <x:c r="D7" s="20" t="n">
        <x:v>50</x:v>
      </x:c>
      <x:c r="E7" s="20" t="n">
        <x:v>250</x:v>
      </x:c>
      <x:c r="F7" s="20" t="n">
        <x:v>200</x:v>
      </x:c>
      <x:c r="G7" s="57" t="n">
        <x:f>SUM(C7:F7)</x:f>
        <x:v>500</x:v>
      </x:c>
      <x:c r="H7" s="14" t="str">
        <x:v>4 doanh nghiệp trả phí, tỷ lệ hoàn tất &gt;=70%, retention pilot &gt;=60%</x:v>
      </x:c>
      <x:c r="I7" s="11"/>
      <x:c r="J7" s="11"/>
      <x:c r="K7" s="11"/>
      <x:c r="L7" s="11"/>
      <x:c r="M7" s="11"/>
      <x:c r="N7" s="11"/>
      <x:c r="O7" s="11"/>
      <x:c r="P7" s="11"/>
      <x:c r="Q7" s="11"/>
      <x:c r="R7" s="11"/>
      <x:c r="S7" s="11"/>
      <x:c r="T7" s="11"/>
      <x:c r="U7" s="11"/>
      <x:c r="V7" s="11"/>
      <x:c r="W7" s="11"/>
      <x:c r="X7" s="11"/>
      <x:c r="Y7" s="11"/>
      <x:c r="Z7" s="11"/>
    </x:row>
    <x:row r="8">
      <x:c r="A8" s="89" t="str">
        <x:v>Tổng nguồn</x:v>
      </x:c>
      <x:c r="B8" s="89"/>
      <x:c r="C8" s="90" t="n">
        <x:f>SUM(C5:C7)</x:f>
        <x:v>150</x:v>
      </x:c>
      <x:c r="D8" s="90" t="n">
        <x:f>SUM(D5:D7)</x:f>
        <x:v>450</x:v>
      </x:c>
      <x:c r="E8" s="90" t="n">
        <x:f>SUM(E5:E7)</x:f>
        <x:v>850</x:v>
      </x:c>
      <x:c r="F8" s="90" t="n">
        <x:f>SUM(F5:F7)</x:f>
        <x:v>350</x:v>
      </x:c>
      <x:c r="G8" s="90" t="n">
        <x:f>SUM(G5:G7)</x:f>
        <x:v>1800</x:v>
      </x:c>
      <x:c r="H8" s="89"/>
      <x:c r="I8" s="11"/>
      <x:c r="J8" s="11"/>
      <x:c r="K8" s="11"/>
      <x:c r="L8" s="11"/>
      <x:c r="M8" s="11"/>
      <x:c r="N8" s="11"/>
      <x:c r="O8" s="11"/>
      <x:c r="P8" s="11"/>
      <x:c r="Q8" s="11"/>
      <x:c r="R8" s="11"/>
      <x:c r="S8" s="11"/>
      <x:c r="T8" s="11"/>
      <x:c r="U8" s="11"/>
      <x:c r="V8" s="11"/>
      <x:c r="W8" s="11"/>
      <x:c r="X8" s="11"/>
      <x:c r="Y8" s="11"/>
      <x:c r="Z8" s="11"/>
    </x:row>
    <x:row r="9">
      <x:c r="A9" s="91" t="str">
        <x:v>Vốn giải ngân Năm 1</x:v>
      </x:c>
      <x:c r="B9" s="91"/>
      <x:c r="C9" s="91"/>
      <x:c r="D9" s="91"/>
      <x:c r="E9" s="91"/>
      <x:c r="F9" s="92" t="n">
        <x:f>G5+G6</x:f>
        <x:v>1300</x:v>
      </x:c>
      <x:c r="G9" s="11"/>
      <x:c r="H9" s="11"/>
      <x:c r="I9" s="11"/>
      <x:c r="J9" s="11"/>
      <x:c r="K9" s="11"/>
      <x:c r="L9" s="11"/>
      <x:c r="M9" s="11"/>
      <x:c r="N9" s="11"/>
      <x:c r="O9" s="11"/>
      <x:c r="P9" s="11"/>
      <x:c r="Q9" s="11"/>
      <x:c r="R9" s="11"/>
      <x:c r="S9" s="11"/>
      <x:c r="T9" s="11"/>
      <x:c r="U9" s="11"/>
      <x:c r="V9" s="11"/>
      <x:c r="W9" s="11"/>
      <x:c r="X9" s="11"/>
      <x:c r="Y9" s="11"/>
      <x:c r="Z9" s="11"/>
    </x:row>
    <x:row r="10">
      <x:c r="A10" s="91" t="str">
        <x:v>Vốn giải ngân Năm 2</x:v>
      </x:c>
      <x:c r="B10" s="91"/>
      <x:c r="C10" s="91"/>
      <x:c r="D10" s="91"/>
      <x:c r="E10" s="91"/>
      <x:c r="F10" s="92" t="n">
        <x:f>G7</x:f>
        <x:v>500</x:v>
      </x:c>
      <x:c r="G10" s="11"/>
      <x:c r="H10" s="11"/>
      <x:c r="I10" s="11"/>
      <x:c r="J10" s="11"/>
      <x:c r="K10" s="11"/>
      <x:c r="L10" s="11"/>
      <x:c r="M10" s="11"/>
      <x:c r="N10" s="11"/>
      <x:c r="O10" s="11"/>
      <x:c r="P10" s="11"/>
      <x:c r="Q10" s="11"/>
      <x:c r="R10" s="11"/>
      <x:c r="S10" s="11"/>
      <x:c r="T10" s="11"/>
      <x:c r="U10" s="11"/>
      <x:c r="V10" s="11"/>
      <x:c r="W10" s="11"/>
      <x:c r="X10" s="11"/>
      <x:c r="Y10" s="11"/>
      <x:c r="Z10" s="11"/>
    </x:row>
    <x:row r="11">
      <x:c r="A11" s="11"/>
      <x:c r="B11" s="11"/>
      <x:c r="C11" s="11"/>
      <x:c r="D11" s="11"/>
      <x:c r="E11" s="11"/>
      <x:c r="F11" s="11"/>
      <x:c r="G11" s="11"/>
      <x:c r="H11" s="11"/>
      <x:c r="I11" s="11"/>
      <x:c r="J11" s="11"/>
      <x:c r="K11" s="11"/>
      <x:c r="L11" s="11"/>
      <x:c r="M11" s="11"/>
      <x:c r="N11" s="11"/>
      <x:c r="O11" s="11"/>
      <x:c r="P11" s="11"/>
      <x:c r="Q11" s="11"/>
      <x:c r="R11" s="11"/>
      <x:c r="S11" s="11"/>
      <x:c r="T11" s="11"/>
      <x:c r="U11" s="11"/>
      <x:c r="V11" s="11"/>
      <x:c r="W11" s="11"/>
      <x:c r="X11" s="11"/>
      <x:c r="Y11" s="11"/>
      <x:c r="Z11" s="11"/>
    </x:row>
    <x:row r="12" ht="22" customHeight="1">
      <x:c r="A12" s="25" t="str">
        <x:v>Cơ cấu sử dụng 1.800 triệu đồng</x:v>
      </x:c>
      <x:c r="B12" s="26" t="str">
        <x:v>Cơ cấu sử dụng 1.800 triệu đồng</x:v>
      </x:c>
      <x:c r="C12" s="26" t="str">
        <x:v>Cơ cấu sử dụng 1.800 triệu đồng</x:v>
      </x:c>
      <x:c r="D12" s="27" t="str">
        <x:v>Cơ cấu sử dụng 1.800 triệu đồng</x:v>
      </x:c>
      <x:c r="E12" s="11"/>
      <x:c r="F12" s="11"/>
      <x:c r="G12" s="11"/>
      <x:c r="H12" s="11"/>
      <x:c r="I12" s="11"/>
      <x:c r="J12" s="11"/>
      <x:c r="K12" s="11"/>
      <x:c r="L12" s="11"/>
      <x:c r="M12" s="11"/>
      <x:c r="N12" s="11"/>
      <x:c r="O12" s="11"/>
      <x:c r="P12" s="11"/>
      <x:c r="Q12" s="11"/>
      <x:c r="R12" s="11"/>
      <x:c r="S12" s="11"/>
      <x:c r="T12" s="11"/>
      <x:c r="U12" s="11"/>
      <x:c r="V12" s="11"/>
      <x:c r="W12" s="11"/>
      <x:c r="X12" s="11"/>
      <x:c r="Y12" s="11"/>
      <x:c r="Z12" s="11"/>
    </x:row>
    <x:row r="13">
      <x:c r="A13" s="10" t="str">
        <x:v>Hạng mục</x:v>
      </x:c>
      <x:c r="B13" s="10" t="str">
        <x:v>Số tiền</x:v>
      </x:c>
      <x:c r="C13" s="10" t="str">
        <x:v>Tỷ trọng</x:v>
      </x:c>
      <x:c r="D13" s="10" t="str">
        <x:v>Mục đích</x:v>
      </x:c>
      <x:c r="E13" s="11"/>
      <x:c r="F13" s="10" t="str">
        <x:v>Nguồn vốn</x:v>
      </x:c>
      <x:c r="G13" s="10" t="str">
        <x:v>Số tiền</x:v>
      </x:c>
      <x:c r="H13" s="10" t="str">
        <x:v>Tỷ trọng</x:v>
      </x:c>
      <x:c r="I13" s="11"/>
      <x:c r="J13" s="11"/>
      <x:c r="K13" s="11"/>
      <x:c r="L13" s="11"/>
      <x:c r="M13" s="11"/>
      <x:c r="N13" s="11"/>
      <x:c r="O13" s="11"/>
      <x:c r="P13" s="11"/>
      <x:c r="Q13" s="11"/>
      <x:c r="R13" s="11"/>
      <x:c r="S13" s="11"/>
      <x:c r="T13" s="11"/>
      <x:c r="U13" s="11"/>
      <x:c r="V13" s="11"/>
      <x:c r="W13" s="11"/>
      <x:c r="X13" s="11"/>
      <x:c r="Y13" s="11"/>
      <x:c r="Z13" s="11"/>
    </x:row>
    <x:row r="14">
      <x:c r="A14" s="13" t="str">
        <x:v>Sản phẩm, dữ liệu và Capex</x:v>
      </x:c>
      <x:c r="B14" s="19" t="n">
        <x:v>490</x:v>
      </x:c>
      <x:c r="C14" s="60" t="n">
        <x:f>B14/$B$20</x:f>
        <x:v>0.2722222222222222</x:v>
      </x:c>
      <x:c r="D14" s="13" t="str">
        <x:v>Bảo mật, dữ liệu, hạ tầng và sản phẩm sau MVP</x:v>
      </x:c>
      <x:c r="E14" s="11"/>
      <x:c r="F14" s="29" t="str">
        <x:v>Nhà sáng lập</x:v>
      </x:c>
      <x:c r="G14" s="66" t="n">
        <x:f>C8</x:f>
        <x:v>150</x:v>
      </x:c>
      <x:c r="H14" s="67" t="n">
        <x:f>G14/$G$18</x:f>
        <x:v>0.08333333333333333</x:v>
      </x:c>
      <x:c r="I14" s="11"/>
      <x:c r="J14" s="11"/>
      <x:c r="K14" s="11"/>
      <x:c r="L14" s="11"/>
      <x:c r="M14" s="11"/>
      <x:c r="N14" s="11"/>
      <x:c r="O14" s="11"/>
      <x:c r="P14" s="11"/>
      <x:c r="Q14" s="11"/>
      <x:c r="R14" s="11"/>
      <x:c r="S14" s="11"/>
      <x:c r="T14" s="11"/>
      <x:c r="U14" s="11"/>
      <x:c r="V14" s="11"/>
      <x:c r="W14" s="11"/>
      <x:c r="X14" s="11"/>
      <x:c r="Y14" s="11"/>
      <x:c r="Z14" s="11"/>
    </x:row>
    <x:row r="15">
      <x:c r="A15" s="14" t="str">
        <x:v>Cầu nối chi phí nhân sự</x:v>
      </x:c>
      <x:c r="B15" s="20" t="n">
        <x:v>620</x:v>
      </x:c>
      <x:c r="C15" s="61" t="n">
        <x:f>B15/$B$20</x:f>
        <x:v>0.34444444444444444</x:v>
      </x:c>
      <x:c r="D15" s="14" t="str">
        <x:v>Giữ đội ngũ tinh gọn trong 24 tháng đầu</x:v>
      </x:c>
      <x:c r="E15" s="11"/>
      <x:c r="F15" s="30" t="str">
        <x:v>Grant</x:v>
      </x:c>
      <x:c r="G15" s="48" t="n">
        <x:f>D8</x:f>
        <x:v>450</x:v>
      </x:c>
      <x:c r="H15" s="50" t="n">
        <x:f>G15/$G$18</x:f>
        <x:v>0.25</x:v>
      </x:c>
      <x:c r="I15" s="11"/>
      <x:c r="J15" s="11"/>
      <x:c r="K15" s="11"/>
      <x:c r="L15" s="11"/>
      <x:c r="M15" s="11"/>
      <x:c r="N15" s="11"/>
      <x:c r="O15" s="11"/>
      <x:c r="P15" s="11"/>
      <x:c r="Q15" s="11"/>
      <x:c r="R15" s="11"/>
      <x:c r="S15" s="11"/>
      <x:c r="T15" s="11"/>
      <x:c r="U15" s="11"/>
      <x:c r="V15" s="11"/>
      <x:c r="W15" s="11"/>
      <x:c r="X15" s="11"/>
      <x:c r="Y15" s="11"/>
      <x:c r="Z15" s="11"/>
    </x:row>
    <x:row r="16">
      <x:c r="A16" s="14" t="str">
        <x:v>Pilot và vận hành địa bàn</x:v>
      </x:c>
      <x:c r="B16" s="20" t="n">
        <x:v>320</x:v>
      </x:c>
      <x:c r="C16" s="61" t="n">
        <x:f>B16/$B$20</x:f>
        <x:v>0.17777777777777778</x:v>
      </x:c>
      <x:c r="D16" s="14" t="str">
        <x:v>Onboarding, hỗ trợ giao dịch, đo kết quả mùa vụ</x:v>
      </x:c>
      <x:c r="E16" s="11"/>
      <x:c r="F16" s="30" t="str">
        <x:v>Angel/SAFE</x:v>
      </x:c>
      <x:c r="G16" s="48" t="n">
        <x:f>E8</x:f>
        <x:v>850</x:v>
      </x:c>
      <x:c r="H16" s="50" t="n">
        <x:f>G16/$G$18</x:f>
        <x:v>0.4722222222222222</x:v>
      </x:c>
      <x:c r="I16" s="11"/>
      <x:c r="J16" s="11"/>
      <x:c r="K16" s="11"/>
      <x:c r="L16" s="11"/>
      <x:c r="M16" s="11"/>
      <x:c r="N16" s="11"/>
      <x:c r="O16" s="11"/>
      <x:c r="P16" s="11"/>
      <x:c r="Q16" s="11"/>
      <x:c r="R16" s="11"/>
      <x:c r="S16" s="11"/>
      <x:c r="T16" s="11"/>
      <x:c r="U16" s="11"/>
      <x:c r="V16" s="11"/>
      <x:c r="W16" s="11"/>
      <x:c r="X16" s="11"/>
      <x:c r="Y16" s="11"/>
      <x:c r="Z16" s="11"/>
    </x:row>
    <x:row r="17">
      <x:c r="A17" s="14" t="str">
        <x:v>Bán hàng và phát triển đối tác</x:v>
      </x:c>
      <x:c r="B17" s="20" t="n">
        <x:v>160</x:v>
      </x:c>
      <x:c r="C17" s="61" t="n">
        <x:f>B17/$B$20</x:f>
        <x:v>0.08888888888888889</x:v>
      </x:c>
      <x:c r="D17" s="14" t="str">
        <x:v>Pipeline B2B, hợp đồng pilot, tài liệu bán hàng</x:v>
      </x:c>
      <x:c r="E17" s="11"/>
      <x:c r="F17" s="30" t="str">
        <x:v>Đối tác chiến lược</x:v>
      </x:c>
      <x:c r="G17" s="48" t="n">
        <x:f>F8</x:f>
        <x:v>350</x:v>
      </x:c>
      <x:c r="H17" s="50" t="n">
        <x:f>G17/$G$18</x:f>
        <x:v>0.19444444444444445</x:v>
      </x:c>
      <x:c r="I17" s="11"/>
      <x:c r="J17" s="11"/>
      <x:c r="K17" s="11"/>
      <x:c r="L17" s="11"/>
      <x:c r="M17" s="11"/>
      <x:c r="N17" s="11"/>
      <x:c r="O17" s="11"/>
      <x:c r="P17" s="11"/>
      <x:c r="Q17" s="11"/>
      <x:c r="R17" s="11"/>
      <x:c r="S17" s="11"/>
      <x:c r="T17" s="11"/>
      <x:c r="U17" s="11"/>
      <x:c r="V17" s="11"/>
      <x:c r="W17" s="11"/>
      <x:c r="X17" s="11"/>
      <x:c r="Y17" s="11"/>
      <x:c r="Z17" s="11"/>
    </x:row>
    <x:row r="18">
      <x:c r="A18" s="14" t="str">
        <x:v>Pháp lý và hành chính</x:v>
      </x:c>
      <x:c r="B18" s="20" t="n">
        <x:v>120</x:v>
      </x:c>
      <x:c r="C18" s="61" t="n">
        <x:f>B18/$B$20</x:f>
        <x:v>0.06666666666666667</x:v>
      </x:c>
      <x:c r="D18" s="14" t="str">
        <x:v>Dữ liệu cá nhân, hợp đồng, kế toán và tuân thủ</x:v>
      </x:c>
      <x:c r="E18" s="11"/>
      <x:c r="F18" s="54" t="str">
        <x:v>Tổng</x:v>
      </x:c>
      <x:c r="G18" s="55" t="n">
        <x:f>SUM(G14:G17)</x:f>
        <x:v>1800</x:v>
      </x:c>
      <x:c r="H18" s="68" t="n">
        <x:f>SUM(H14:H17)</x:f>
        <x:v>1</x:v>
      </x:c>
      <x:c r="I18" s="11"/>
      <x:c r="J18" s="11"/>
      <x:c r="K18" s="11"/>
      <x:c r="L18" s="11"/>
      <x:c r="M18" s="11"/>
      <x:c r="N18" s="11"/>
      <x:c r="O18" s="11"/>
      <x:c r="P18" s="11"/>
      <x:c r="Q18" s="11"/>
      <x:c r="R18" s="11"/>
      <x:c r="S18" s="11"/>
      <x:c r="T18" s="11"/>
      <x:c r="U18" s="11"/>
      <x:c r="V18" s="11"/>
      <x:c r="W18" s="11"/>
      <x:c r="X18" s="11"/>
      <x:c r="Y18" s="11"/>
      <x:c r="Z18" s="11"/>
    </x:row>
    <x:row r="19">
      <x:c r="A19" s="14" t="str">
        <x:v>Dự phòng</x:v>
      </x:c>
      <x:c r="B19" s="20" t="n">
        <x:v>90</x:v>
      </x:c>
      <x:c r="C19" s="61" t="n">
        <x:f>B19/$B$20</x:f>
        <x:v>0.05</x:v>
      </x:c>
      <x:c r="D19" s="14" t="str">
        <x:v>Biến động dữ liệu, tích hợp và mùa vụ</x:v>
      </x:c>
      <x:c r="E19" s="11"/>
      <x:c r="F19" s="11"/>
      <x:c r="G19" s="11"/>
      <x:c r="H19" s="11"/>
      <x:c r="I19" s="11"/>
      <x:c r="J19" s="11"/>
      <x:c r="K19" s="11"/>
      <x:c r="L19" s="11"/>
      <x:c r="M19" s="11"/>
      <x:c r="N19" s="11"/>
      <x:c r="O19" s="11"/>
      <x:c r="P19" s="11"/>
      <x:c r="Q19" s="11"/>
      <x:c r="R19" s="11"/>
      <x:c r="S19" s="11"/>
      <x:c r="T19" s="11"/>
      <x:c r="U19" s="11"/>
      <x:c r="V19" s="11"/>
      <x:c r="W19" s="11"/>
      <x:c r="X19" s="11"/>
      <x:c r="Y19" s="11"/>
      <x:c r="Z19" s="11"/>
    </x:row>
    <x:row r="20">
      <x:c r="A20" s="64" t="str">
        <x:v>Tổng</x:v>
      </x:c>
      <x:c r="B20" s="64" t="n">
        <x:f>SUM(B14:B19)</x:f>
        <x:v>1800</x:v>
      </x:c>
      <x:c r="C20" s="65" t="n">
        <x:f>SUM(C14:C19)</x:f>
        <x:v>1</x:v>
      </x:c>
      <x:c r="D20" s="64" t="str"/>
      <x:c r="E20" s="11"/>
      <x:c r="F20" s="11"/>
      <x:c r="G20" s="11"/>
      <x:c r="H20" s="11"/>
      <x:c r="I20" s="11"/>
      <x:c r="J20" s="11"/>
      <x:c r="K20" s="11"/>
      <x:c r="L20" s="11"/>
      <x:c r="M20" s="11"/>
      <x:c r="N20" s="11"/>
      <x:c r="O20" s="11"/>
      <x:c r="P20" s="11"/>
      <x:c r="Q20" s="11"/>
      <x:c r="R20" s="11"/>
      <x:c r="S20" s="11"/>
      <x:c r="T20" s="11"/>
      <x:c r="U20" s="11"/>
      <x:c r="V20" s="11"/>
      <x:c r="W20" s="11"/>
      <x:c r="X20" s="11"/>
      <x:c r="Y20" s="11"/>
      <x:c r="Z20" s="11"/>
    </x:row>
    <x:row r="21">
      <x:c r="A21" s="11"/>
      <x:c r="B21" s="11"/>
      <x:c r="C21" s="11"/>
      <x:c r="D21" s="11"/>
      <x:c r="E21" s="11"/>
      <x:c r="F21" s="11"/>
      <x:c r="G21" s="11"/>
      <x:c r="H21" s="11"/>
      <x:c r="I21" s="11"/>
      <x:c r="J21" s="11"/>
      <x:c r="K21" s="11"/>
      <x:c r="L21" s="11"/>
      <x:c r="M21" s="11"/>
      <x:c r="N21" s="11"/>
      <x:c r="O21" s="11"/>
      <x:c r="P21" s="11"/>
      <x:c r="Q21" s="11"/>
      <x:c r="R21" s="11"/>
      <x:c r="S21" s="11"/>
      <x:c r="T21" s="11"/>
      <x:c r="U21" s="11"/>
      <x:c r="V21" s="11"/>
      <x:c r="W21" s="11"/>
      <x:c r="X21" s="11"/>
      <x:c r="Y21" s="11"/>
      <x:c r="Z21" s="11"/>
    </x:row>
    <x:row r="22">
      <x:c r="A22" s="11"/>
      <x:c r="B22" s="11"/>
      <x:c r="C22" s="11"/>
      <x:c r="D22" s="11"/>
      <x:c r="E22" s="11"/>
      <x:c r="F22" s="11"/>
      <x:c r="G22" s="11"/>
      <x:c r="H22" s="11"/>
      <x:c r="I22" s="11"/>
      <x:c r="J22" s="11"/>
      <x:c r="K22" s="11"/>
      <x:c r="L22" s="11"/>
      <x:c r="M22" s="11"/>
      <x:c r="N22" s="11"/>
      <x:c r="O22" s="11"/>
      <x:c r="P22" s="11"/>
      <x:c r="Q22" s="11"/>
      <x:c r="R22" s="11"/>
      <x:c r="S22" s="11"/>
      <x:c r="T22" s="11"/>
      <x:c r="U22" s="11"/>
      <x:c r="V22" s="11"/>
      <x:c r="W22" s="11"/>
      <x:c r="X22" s="11"/>
      <x:c r="Y22" s="11"/>
      <x:c r="Z22" s="11"/>
    </x:row>
    <x:row r="23">
      <x:c r="A23" s="11"/>
      <x:c r="B23" s="11"/>
      <x:c r="C23" s="11"/>
      <x:c r="D23" s="11"/>
      <x:c r="E23" s="11"/>
      <x:c r="F23" s="11"/>
      <x:c r="G23" s="11"/>
      <x:c r="H23" s="11"/>
      <x:c r="I23" s="11"/>
      <x:c r="J23" s="11"/>
      <x:c r="K23" s="11"/>
      <x:c r="L23" s="11"/>
      <x:c r="M23" s="11"/>
      <x:c r="N23" s="11"/>
      <x:c r="O23" s="11"/>
      <x:c r="P23" s="11"/>
      <x:c r="Q23" s="11"/>
      <x:c r="R23" s="11"/>
      <x:c r="S23" s="11"/>
      <x:c r="T23" s="11"/>
      <x:c r="U23" s="11"/>
      <x:c r="V23" s="11"/>
      <x:c r="W23" s="11"/>
      <x:c r="X23" s="11"/>
      <x:c r="Y23" s="11"/>
      <x:c r="Z23" s="11"/>
    </x:row>
    <x:row r="24">
      <x:c r="A24" s="11"/>
      <x:c r="B24" s="11"/>
      <x:c r="C24" s="11"/>
      <x:c r="D24" s="11"/>
      <x:c r="E24" s="11"/>
      <x:c r="F24" s="11"/>
      <x:c r="G24" s="11"/>
      <x:c r="H24" s="11"/>
      <x:c r="I24" s="11"/>
      <x:c r="J24" s="11"/>
      <x:c r="K24" s="11"/>
      <x:c r="L24" s="11"/>
      <x:c r="M24" s="11"/>
      <x:c r="N24" s="11"/>
      <x:c r="O24" s="11"/>
      <x:c r="P24" s="11"/>
      <x:c r="Q24" s="11"/>
      <x:c r="R24" s="11"/>
      <x:c r="S24" s="11"/>
      <x:c r="T24" s="11"/>
      <x:c r="U24" s="11"/>
      <x:c r="V24" s="11"/>
      <x:c r="W24" s="11"/>
      <x:c r="X24" s="11"/>
      <x:c r="Y24" s="11"/>
      <x:c r="Z24" s="11"/>
    </x:row>
    <x:row r="25">
      <x:c r="A25" s="11"/>
      <x:c r="B25" s="11"/>
      <x:c r="C25" s="11"/>
      <x:c r="D25" s="11"/>
      <x:c r="E25" s="11"/>
      <x:c r="F25" s="11"/>
      <x:c r="G25" s="11"/>
      <x:c r="H25" s="11"/>
      <x:c r="I25" s="11"/>
      <x:c r="J25" s="11"/>
      <x:c r="K25" s="11"/>
      <x:c r="L25" s="11"/>
      <x:c r="M25" s="11"/>
      <x:c r="N25" s="11"/>
      <x:c r="O25" s="11"/>
      <x:c r="P25" s="11"/>
      <x:c r="Q25" s="11"/>
      <x:c r="R25" s="11"/>
      <x:c r="S25" s="11"/>
      <x:c r="T25" s="11"/>
      <x:c r="U25" s="11"/>
      <x:c r="V25" s="11"/>
      <x:c r="W25" s="11"/>
      <x:c r="X25" s="11"/>
      <x:c r="Y25" s="11"/>
      <x:c r="Z25" s="11"/>
    </x:row>
    <x:row r="26">
      <x:c r="A26" s="11"/>
      <x:c r="B26" s="11"/>
      <x:c r="C26" s="11"/>
      <x:c r="D26" s="11"/>
      <x:c r="E26" s="11"/>
      <x:c r="F26" s="11"/>
      <x:c r="G26" s="11"/>
      <x:c r="H26" s="11"/>
      <x:c r="I26" s="11"/>
      <x:c r="J26" s="11"/>
      <x:c r="K26" s="11"/>
      <x:c r="L26" s="11"/>
      <x:c r="M26" s="11"/>
      <x:c r="N26" s="11"/>
      <x:c r="O26" s="11"/>
      <x:c r="P26" s="11"/>
      <x:c r="Q26" s="11"/>
      <x:c r="R26" s="11"/>
      <x:c r="S26" s="11"/>
      <x:c r="T26" s="11"/>
      <x:c r="U26" s="11"/>
      <x:c r="V26" s="11"/>
      <x:c r="W26" s="11"/>
      <x:c r="X26" s="11"/>
      <x:c r="Y26" s="11"/>
      <x:c r="Z26" s="11"/>
    </x:row>
    <x:row r="27">
      <x:c r="A27" s="11"/>
      <x:c r="B27" s="11"/>
      <x:c r="C27" s="11"/>
      <x:c r="D27" s="11"/>
      <x:c r="E27" s="11"/>
      <x:c r="F27" s="11"/>
      <x:c r="G27" s="11"/>
      <x:c r="H27" s="11"/>
      <x:c r="I27" s="11"/>
      <x:c r="J27" s="11"/>
      <x:c r="K27" s="11"/>
      <x:c r="L27" s="11"/>
      <x:c r="M27" s="11"/>
      <x:c r="N27" s="11"/>
      <x:c r="O27" s="11"/>
      <x:c r="P27" s="11"/>
      <x:c r="Q27" s="11"/>
      <x:c r="R27" s="11"/>
      <x:c r="S27" s="11"/>
      <x:c r="T27" s="11"/>
      <x:c r="U27" s="11"/>
      <x:c r="V27" s="11"/>
      <x:c r="W27" s="11"/>
      <x:c r="X27" s="11"/>
      <x:c r="Y27" s="11"/>
      <x:c r="Z27" s="11"/>
    </x:row>
    <x:row r="28">
      <x:c r="A28" s="11"/>
      <x:c r="B28" s="11"/>
      <x:c r="C28" s="11"/>
      <x:c r="D28" s="11"/>
      <x:c r="E28" s="11"/>
      <x:c r="F28" s="11"/>
      <x:c r="G28" s="11"/>
      <x:c r="H28" s="11"/>
      <x:c r="I28" s="11"/>
      <x:c r="J28" s="11"/>
      <x:c r="K28" s="11"/>
      <x:c r="L28" s="11"/>
      <x:c r="M28" s="11"/>
      <x:c r="N28" s="11"/>
      <x:c r="O28" s="11"/>
      <x:c r="P28" s="11"/>
      <x:c r="Q28" s="11"/>
      <x:c r="R28" s="11"/>
      <x:c r="S28" s="11"/>
      <x:c r="T28" s="11"/>
      <x:c r="U28" s="11"/>
      <x:c r="V28" s="11"/>
      <x:c r="W28" s="11"/>
      <x:c r="X28" s="11"/>
      <x:c r="Y28" s="11"/>
      <x:c r="Z28" s="11"/>
    </x:row>
    <x:row r="29">
      <x:c r="A29" s="11"/>
      <x:c r="B29" s="11"/>
      <x:c r="C29" s="11"/>
      <x:c r="D29" s="11"/>
      <x:c r="E29" s="11"/>
      <x:c r="F29" s="11"/>
      <x:c r="G29" s="11"/>
      <x:c r="H29" s="11"/>
      <x:c r="I29" s="11"/>
      <x:c r="J29" s="11"/>
      <x:c r="K29" s="11"/>
      <x:c r="L29" s="11"/>
      <x:c r="M29" s="11"/>
      <x:c r="N29" s="11"/>
      <x:c r="O29" s="11"/>
      <x:c r="P29" s="11"/>
      <x:c r="Q29" s="11"/>
      <x:c r="R29" s="11"/>
      <x:c r="S29" s="11"/>
      <x:c r="T29" s="11"/>
      <x:c r="U29" s="11"/>
      <x:c r="V29" s="11"/>
      <x:c r="W29" s="11"/>
      <x:c r="X29" s="11"/>
      <x:c r="Y29" s="11"/>
      <x:c r="Z29" s="11"/>
    </x:row>
    <x:row r="30">
      <x:c r="A30" s="11"/>
      <x:c r="B30" s="11"/>
      <x:c r="C30" s="11"/>
      <x:c r="D30" s="11"/>
      <x:c r="E30" s="11"/>
      <x:c r="F30" s="11"/>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sheetData>
  <x:mergeCells>
    <x:mergeCell ref="A2:H2"/>
  </x:mergeCells>
  <x:pageMargins left="0.7" right="0.7" top="0.75" bottom="0.75" header="0.3" footer="0.3"/>
</x:worksheet>
</file>

<file path=xl/worksheets/sheet7.xml><?xml version="1.0" encoding="utf-8"?>
<x:worksheet xmlns:x="http://schemas.openxmlformats.org/spreadsheetml/2006/main">
  <x:sheetPr>
    <x:tabColor rgb="FFA5A5A5"/>
  </x:sheetPr>
  <x:sheetViews>
    <x:sheetView showGridLines="0" workbookViewId="0"/>
  </x:sheetViews>
  <x:sheetFormatPr defaultRowHeight="15"/>
  <x:cols>
    <x:col min="1" max="1" width="18" hidden="0" customWidth="1"/>
    <x:col min="2" max="2" width="15" hidden="0" customWidth="1"/>
    <x:col min="3" max="3" width="14" hidden="0" customWidth="1"/>
    <x:col min="4" max="4" width="17" hidden="0" customWidth="1"/>
    <x:col min="5" max="5" width="17" hidden="0" customWidth="1"/>
    <x:col min="6" max="6" width="17" hidden="0" customWidth="1"/>
    <x:col min="7" max="7" width="18" hidden="0" customWidth="1"/>
    <x:col min="8" max="8" width="22" hidden="0" customWidth="1"/>
  </x:cols>
  <x:sheetData>
    <x:row r="1">
      <x:c r="A1" s="11"/>
      <x:c r="B1" s="11"/>
      <x:c r="C1" s="11"/>
      <x:c r="D1" s="11"/>
      <x:c r="E1" s="11"/>
      <x:c r="F1" s="11"/>
      <x:c r="G1" s="11"/>
      <x:c r="H1" s="11"/>
      <x:c r="I1" s="11"/>
      <x:c r="J1" s="11"/>
      <x:c r="K1" s="11"/>
      <x:c r="L1" s="11"/>
      <x:c r="M1" s="11"/>
      <x:c r="N1" s="11"/>
      <x:c r="O1" s="11"/>
      <x:c r="P1" s="11"/>
      <x:c r="Q1" s="11"/>
      <x:c r="R1" s="11"/>
      <x:c r="S1" s="11"/>
      <x:c r="T1" s="11"/>
      <x:c r="U1" s="11"/>
      <x:c r="V1" s="11"/>
      <x:c r="W1" s="11"/>
      <x:c r="X1" s="11"/>
      <x:c r="Y1" s="11"/>
      <x:c r="Z1" s="11"/>
    </x:row>
    <x:row r="2" ht="26" customHeight="1">
      <x:c r="A2" s="3" t="str">
        <x:v>Độ nhạy tài chính</x:v>
      </x:c>
      <x:c r="B2" s="3" t="str">
        <x:v>Độ nhạy tài chính</x:v>
      </x:c>
      <x:c r="C2" s="3" t="str">
        <x:v>Độ nhạy tài chính</x:v>
      </x:c>
      <x:c r="D2" s="3" t="str">
        <x:v>Độ nhạy tài chính</x:v>
      </x:c>
      <x:c r="E2" s="3" t="str">
        <x:v>Độ nhạy tài chính</x:v>
      </x:c>
      <x:c r="F2" s="3" t="str">
        <x:v>Độ nhạy tài chính</x:v>
      </x:c>
      <x:c r="G2" s="3" t="str">
        <x:v>Độ nhạy tài chính</x:v>
      </x:c>
      <x:c r="H2" s="3" t="str">
        <x:v>Độ nhạy tài chính</x:v>
      </x:c>
      <x:c r="I2" s="11"/>
      <x:c r="J2" s="11"/>
      <x:c r="K2" s="11"/>
      <x:c r="L2" s="11"/>
      <x:c r="M2" s="11"/>
      <x:c r="N2" s="11"/>
      <x:c r="O2" s="11"/>
      <x:c r="P2" s="11"/>
      <x:c r="Q2" s="11"/>
      <x:c r="R2" s="11"/>
      <x:c r="S2" s="11"/>
      <x:c r="T2" s="11"/>
      <x:c r="U2" s="11"/>
      <x:c r="V2" s="11"/>
      <x:c r="W2" s="11"/>
      <x:c r="X2" s="11"/>
      <x:c r="Y2" s="11"/>
      <x:c r="Z2" s="11"/>
    </x:row>
    <x:row r="3">
      <x:c r="A3" s="87"/>
      <x:c r="B3" s="87"/>
      <x:c r="C3" s="87"/>
      <x:c r="D3" s="87"/>
      <x:c r="E3" s="87"/>
      <x:c r="F3" s="87"/>
      <x:c r="G3" s="87"/>
      <x:c r="H3" s="87"/>
      <x:c r="I3" s="11"/>
      <x:c r="J3" s="11"/>
      <x:c r="K3" s="11"/>
      <x:c r="L3" s="11"/>
      <x:c r="M3" s="11"/>
      <x:c r="N3" s="11"/>
      <x:c r="O3" s="11"/>
      <x:c r="P3" s="11"/>
      <x:c r="Q3" s="11"/>
      <x:c r="R3" s="11"/>
      <x:c r="S3" s="11"/>
      <x:c r="T3" s="11"/>
      <x:c r="U3" s="11"/>
      <x:c r="V3" s="11"/>
      <x:c r="W3" s="11"/>
      <x:c r="X3" s="11"/>
      <x:c r="Y3" s="11"/>
      <x:c r="Z3" s="11"/>
    </x:row>
    <x:row r="4">
      <x:c r="A4" s="10" t="str">
        <x:v>Kịch bản</x:v>
      </x:c>
      <x:c r="B4" s="10" t="str">
        <x:v>Hệ số doanh thu</x:v>
      </x:c>
      <x:c r="C4" s="10" t="str">
        <x:v>Hệ số Opex</x:v>
      </x:c>
      <x:c r="D4" s="10" t="str">
        <x:v>Doanh thu 5 năm</x:v>
      </x:c>
      <x:c r="E4" s="10" t="str">
        <x:v>EBITDA 5 năm</x:v>
      </x:c>
      <x:c r="F4" s="10" t="str">
        <x:v>Tiền cuối Năm 2</x:v>
      </x:c>
      <x:c r="G4" s="10" t="str">
        <x:v>Vốn bổ sung cần có</x:v>
      </x:c>
      <x:c r="H4" s="10" t="str">
        <x:v>Năm EBITDA dương đầu tiên</x:v>
      </x:c>
      <x:c r="I4" s="11"/>
      <x:c r="J4" s="11"/>
      <x:c r="K4" s="11"/>
      <x:c r="L4" s="11"/>
      <x:c r="M4" s="11"/>
      <x:c r="N4" s="11"/>
      <x:c r="O4" s="11"/>
      <x:c r="P4" s="11"/>
      <x:c r="Q4" s="11"/>
      <x:c r="R4" s="11"/>
      <x:c r="S4" s="11"/>
      <x:c r="T4" s="11"/>
      <x:c r="U4" s="11"/>
      <x:c r="V4" s="11"/>
      <x:c r="W4" s="11"/>
      <x:c r="X4" s="11"/>
      <x:c r="Y4" s="11"/>
      <x:c r="Z4" s="11"/>
    </x:row>
    <x:row r="5">
      <x:c r="A5" s="29" t="str">
        <x:v>Downside</x:v>
      </x:c>
      <x:c r="B5" s="74" t="n">
        <x:v>0.7</x:v>
      </x:c>
      <x:c r="C5" s="74" t="n">
        <x:v>0.95</x:v>
      </x:c>
      <x:c r="D5" s="66" t="n">
        <x:f>SUM('Mô hình 5 năm'!B12:F12)*B5</x:f>
        <x:v>13532.4</x:v>
      </x:c>
      <x:c r="E5" s="66" t="n">
        <x:f>D5-SUM('Mô hình 5 năm'!B18:F18)*C5</x:f>
        <x:v>641.8500000000004</x:v>
      </x:c>
      <x:c r="F5" s="66" t="n">
        <x:f>SUM('Nguồn vốn'!F9:F10)+SUM('Mô hình 5 năm'!B12:C12)*B5-SUM('Mô hình 5 năm'!B18:C18)*C5-SUM('Mô hình 5 năm'!B25:C25)</x:f>
        <x:v>-175.64999999999964</x:v>
      </x:c>
      <x:c r="G5" s="66" t="n">
        <x:f>MAX(0,-F5)</x:f>
        <x:v>175.64999999999964</x:v>
      </x:c>
      <x:c r="H5" s="75" t="n">
        <x:f>IF('Mô hình 5 năm'!B12*B5-'Mô hình 5 năm'!B18*C5&gt;0,1,IF('Mô hình 5 năm'!C12*B5-'Mô hình 5 năm'!C18*C5&gt;0,2,IF('Mô hình 5 năm'!D12*B5-'Mô hình 5 năm'!D18*C5&gt;0,3,IF('Mô hình 5 năm'!E12*B5-'Mô hình 5 năm'!E18*C5&gt;0,4,IF('Mô hình 5 năm'!F12*B5-'Mô hình 5 năm'!F18*C5&gt;0,5,"Sau Năm 5")))))</x:f>
        <x:v>4</x:v>
      </x:c>
      <x:c r="I5" s="11"/>
      <x:c r="J5" s="11"/>
      <x:c r="K5" s="11"/>
      <x:c r="L5" s="11"/>
      <x:c r="M5" s="11"/>
      <x:c r="N5" s="11"/>
      <x:c r="O5" s="11"/>
      <x:c r="P5" s="11"/>
      <x:c r="Q5" s="11"/>
      <x:c r="R5" s="11"/>
      <x:c r="S5" s="11"/>
      <x:c r="T5" s="11"/>
      <x:c r="U5" s="11"/>
      <x:c r="V5" s="11"/>
      <x:c r="W5" s="11"/>
      <x:c r="X5" s="11"/>
      <x:c r="Y5" s="11"/>
      <x:c r="Z5" s="11"/>
    </x:row>
    <x:row r="6">
      <x:c r="A6" s="30" t="str">
        <x:v>Cơ sở</x:v>
      </x:c>
      <x:c r="B6" s="41" t="n">
        <x:v>1</x:v>
      </x:c>
      <x:c r="C6" s="41" t="n">
        <x:v>1</x:v>
      </x:c>
      <x:c r="D6" s="48" t="n">
        <x:f>SUM('Mô hình 5 năm'!B12:F12)*B6</x:f>
        <x:v>19332</x:v>
      </x:c>
      <x:c r="E6" s="48" t="n">
        <x:f>D6-SUM('Mô hình 5 năm'!B18:F18)*C6</x:f>
        <x:v>5763</x:v>
      </x:c>
      <x:c r="F6" s="48" t="n">
        <x:f>SUM('Nguồn vốn'!F9:F10)+SUM('Mô hình 5 năm'!B12:C12)*B6-SUM('Mô hình 5 năm'!B18:C18)*C6-SUM('Mô hình 5 năm'!B25:C25)</x:f>
        <x:v>123</x:v>
      </x:c>
      <x:c r="G6" s="48" t="n">
        <x:f>MAX(0,-F6)</x:f>
        <x:v>0</x:v>
      </x:c>
      <x:c r="H6" s="76" t="n">
        <x:f>IF('Mô hình 5 năm'!B12*B6-'Mô hình 5 năm'!B18*C6&gt;0,1,IF('Mô hình 5 năm'!C12*B6-'Mô hình 5 năm'!C18*C6&gt;0,2,IF('Mô hình 5 năm'!D12*B6-'Mô hình 5 năm'!D18*C6&gt;0,3,IF('Mô hình 5 năm'!E12*B6-'Mô hình 5 năm'!E18*C6&gt;0,4,IF('Mô hình 5 năm'!F12*B6-'Mô hình 5 năm'!F18*C6&gt;0,5,"Sau Năm 5")))))</x:f>
        <x:v>3</x:v>
      </x:c>
      <x:c r="I6" s="11"/>
      <x:c r="J6" s="11"/>
      <x:c r="K6" s="11"/>
      <x:c r="L6" s="11"/>
      <x:c r="M6" s="11"/>
      <x:c r="N6" s="11"/>
      <x:c r="O6" s="11"/>
      <x:c r="P6" s="11"/>
      <x:c r="Q6" s="11"/>
      <x:c r="R6" s="11"/>
      <x:c r="S6" s="11"/>
      <x:c r="T6" s="11"/>
      <x:c r="U6" s="11"/>
      <x:c r="V6" s="11"/>
      <x:c r="W6" s="11"/>
      <x:c r="X6" s="11"/>
      <x:c r="Y6" s="11"/>
      <x:c r="Z6" s="11"/>
    </x:row>
    <x:row r="7">
      <x:c r="A7" s="30" t="str">
        <x:v>Upside</x:v>
      </x:c>
      <x:c r="B7" s="41" t="n">
        <x:v>1.3</x:v>
      </x:c>
      <x:c r="C7" s="41" t="n">
        <x:v>1.1</x:v>
      </x:c>
      <x:c r="D7" s="48" t="n">
        <x:f>SUM('Mô hình 5 năm'!B12:F12)*B7</x:f>
        <x:v>25131.600000000002</x:v>
      </x:c>
      <x:c r="E7" s="48" t="n">
        <x:f>D7-SUM('Mô hình 5 năm'!B18:F18)*C7</x:f>
        <x:v>10205.7</x:v>
      </x:c>
      <x:c r="F7" s="48" t="n">
        <x:f>SUM('Nguồn vốn'!F9:F10)+SUM('Mô hình 5 năm'!B12:C12)*B7-SUM('Mô hình 5 năm'!B18:C18)*C7-SUM('Mô hình 5 năm'!B25:C25)</x:f>
        <x:v>290.7000000000003</x:v>
      </x:c>
      <x:c r="G7" s="48" t="n">
        <x:f>MAX(0,-F7)</x:f>
        <x:v>0</x:v>
      </x:c>
      <x:c r="H7" s="76" t="n">
        <x:f>IF('Mô hình 5 năm'!B12*B7-'Mô hình 5 năm'!B18*C7&gt;0,1,IF('Mô hình 5 năm'!C12*B7-'Mô hình 5 năm'!C18*C7&gt;0,2,IF('Mô hình 5 năm'!D12*B7-'Mô hình 5 năm'!D18*C7&gt;0,3,IF('Mô hình 5 năm'!E12*B7-'Mô hình 5 năm'!E18*C7&gt;0,4,IF('Mô hình 5 năm'!F12*B7-'Mô hình 5 năm'!F18*C7&gt;0,5,"Sau Năm 5")))))</x:f>
        <x:v>3</x:v>
      </x:c>
      <x:c r="I7" s="11"/>
      <x:c r="J7" s="11"/>
      <x:c r="K7" s="11"/>
      <x:c r="L7" s="11"/>
      <x:c r="M7" s="11"/>
      <x:c r="N7" s="11"/>
      <x:c r="O7" s="11"/>
      <x:c r="P7" s="11"/>
      <x:c r="Q7" s="11"/>
      <x:c r="R7" s="11"/>
      <x:c r="S7" s="11"/>
      <x:c r="T7" s="11"/>
      <x:c r="U7" s="11"/>
      <x:c r="V7" s="11"/>
      <x:c r="W7" s="11"/>
      <x:c r="X7" s="11"/>
      <x:c r="Y7" s="11"/>
      <x:c r="Z7" s="11"/>
    </x:row>
    <x:row r="8">
      <x:c r="A8" s="11"/>
      <x:c r="B8" s="11"/>
      <x:c r="C8" s="11"/>
      <x:c r="D8" s="11"/>
      <x:c r="E8" s="11"/>
      <x:c r="F8" s="11"/>
      <x:c r="G8" s="11"/>
      <x:c r="H8" s="11"/>
      <x:c r="I8" s="11"/>
      <x:c r="J8" s="11"/>
      <x:c r="K8" s="11"/>
      <x:c r="L8" s="11"/>
      <x:c r="M8" s="11"/>
      <x:c r="N8" s="11"/>
      <x:c r="O8" s="11"/>
      <x:c r="P8" s="11"/>
      <x:c r="Q8" s="11"/>
      <x:c r="R8" s="11"/>
      <x:c r="S8" s="11"/>
      <x:c r="T8" s="11"/>
      <x:c r="U8" s="11"/>
      <x:c r="V8" s="11"/>
      <x:c r="W8" s="11"/>
      <x:c r="X8" s="11"/>
      <x:c r="Y8" s="11"/>
      <x:c r="Z8" s="11"/>
    </x:row>
    <x:row r="9">
      <x:c r="A9" s="11"/>
      <x:c r="B9" s="11"/>
      <x:c r="C9" s="11"/>
      <x:c r="D9" s="11"/>
      <x:c r="E9" s="11"/>
      <x:c r="F9" s="11"/>
      <x:c r="G9" s="11"/>
      <x:c r="H9" s="11"/>
      <x:c r="I9" s="11"/>
      <x:c r="J9" s="11"/>
      <x:c r="K9" s="11"/>
      <x:c r="L9" s="11"/>
      <x:c r="M9" s="11"/>
      <x:c r="N9" s="11"/>
      <x:c r="O9" s="11"/>
      <x:c r="P9" s="11"/>
      <x:c r="Q9" s="11"/>
      <x:c r="R9" s="11"/>
      <x:c r="S9" s="11"/>
      <x:c r="T9" s="11"/>
      <x:c r="U9" s="11"/>
      <x:c r="V9" s="11"/>
      <x:c r="W9" s="11"/>
      <x:c r="X9" s="11"/>
      <x:c r="Y9" s="11"/>
      <x:c r="Z9" s="11"/>
    </x:row>
    <x:row r="10" ht="22" customHeight="1">
      <x:c r="A10" s="25" t="str">
        <x:v>Cách sử dụng</x:v>
      </x:c>
      <x:c r="B10" s="26" t="str">
        <x:v>Cách sử dụng</x:v>
      </x:c>
      <x:c r="C10" s="26" t="str">
        <x:v>Cách sử dụng</x:v>
      </x:c>
      <x:c r="D10" s="26" t="str">
        <x:v>Cách sử dụng</x:v>
      </x:c>
      <x:c r="E10" s="26" t="str">
        <x:v>Cách sử dụng</x:v>
      </x:c>
      <x:c r="F10" s="26" t="str">
        <x:v>Cách sử dụng</x:v>
      </x:c>
      <x:c r="G10" s="26" t="str">
        <x:v>Cách sử dụng</x:v>
      </x:c>
      <x:c r="H10" s="27" t="str">
        <x:v>Cách sử dụng</x:v>
      </x:c>
      <x:c r="I10" s="11"/>
      <x:c r="J10" s="11"/>
      <x:c r="K10" s="11"/>
      <x:c r="L10" s="11"/>
      <x:c r="M10" s="11"/>
      <x:c r="N10" s="11"/>
      <x:c r="O10" s="11"/>
      <x:c r="P10" s="11"/>
      <x:c r="Q10" s="11"/>
      <x:c r="R10" s="11"/>
      <x:c r="S10" s="11"/>
      <x:c r="T10" s="11"/>
      <x:c r="U10" s="11"/>
      <x:c r="V10" s="11"/>
      <x:c r="W10" s="11"/>
      <x:c r="X10" s="11"/>
      <x:c r="Y10" s="11"/>
      <x:c r="Z10" s="11"/>
    </x:row>
    <x:row r="11">
      <x:c r="A11"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B11"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C11"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D11"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E11"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F11"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G11"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H11"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I11" s="11"/>
      <x:c r="J11" s="11"/>
      <x:c r="K11" s="11"/>
      <x:c r="L11" s="11"/>
      <x:c r="M11" s="11"/>
      <x:c r="N11" s="11"/>
      <x:c r="O11" s="11"/>
      <x:c r="P11" s="11"/>
      <x:c r="Q11" s="11"/>
      <x:c r="R11" s="11"/>
      <x:c r="S11" s="11"/>
      <x:c r="T11" s="11"/>
      <x:c r="U11" s="11"/>
      <x:c r="V11" s="11"/>
      <x:c r="W11" s="11"/>
      <x:c r="X11" s="11"/>
      <x:c r="Y11" s="11"/>
      <x:c r="Z11" s="11"/>
    </x:row>
    <x:row r="12">
      <x:c r="A12"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B12"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C12"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D12"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E12"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F12"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G12"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H12"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I12" s="11"/>
      <x:c r="J12" s="11"/>
      <x:c r="K12" s="11"/>
      <x:c r="L12" s="11"/>
      <x:c r="M12" s="11"/>
      <x:c r="N12" s="11"/>
      <x:c r="O12" s="11"/>
      <x:c r="P12" s="11"/>
      <x:c r="Q12" s="11"/>
      <x:c r="R12" s="11"/>
      <x:c r="S12" s="11"/>
      <x:c r="T12" s="11"/>
      <x:c r="U12" s="11"/>
      <x:c r="V12" s="11"/>
      <x:c r="W12" s="11"/>
      <x:c r="X12" s="11"/>
      <x:c r="Y12" s="11"/>
      <x:c r="Z12" s="11"/>
    </x:row>
    <x:row r="13">
      <x:c r="A13"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B13"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C13"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D13"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E13"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F13"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G13"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H13" s="77" t="str">
        <x:v>Downside không phải lời tiên đoán. Đây là ngưỡng quản trị: nếu doanh thu chỉ đạt 70% kế hoạch trong khi chi phí chỉ giảm được 5%, dự án cần chuẩn bị thêm vốn cầu nối trước khi hết runway. Việc mở rộng phải dừng nếu không đạt cổng giao dịch và doanh nghiệp trả phí.</x:v>
      </x:c>
      <x:c r="I13" s="11"/>
      <x:c r="J13" s="11"/>
      <x:c r="K13" s="11"/>
      <x:c r="L13" s="11"/>
      <x:c r="M13" s="11"/>
      <x:c r="N13" s="11"/>
      <x:c r="O13" s="11"/>
      <x:c r="P13" s="11"/>
      <x:c r="Q13" s="11"/>
      <x:c r="R13" s="11"/>
      <x:c r="S13" s="11"/>
      <x:c r="T13" s="11"/>
      <x:c r="U13" s="11"/>
      <x:c r="V13" s="11"/>
      <x:c r="W13" s="11"/>
      <x:c r="X13" s="11"/>
      <x:c r="Y13" s="11"/>
      <x:c r="Z13" s="11"/>
    </x:row>
    <x:row r="14">
      <x:c r="A14" s="11"/>
      <x:c r="B14" s="11"/>
      <x:c r="C14" s="11"/>
      <x:c r="D14" s="11"/>
      <x:c r="E14" s="11"/>
      <x:c r="F14" s="11"/>
      <x:c r="G14" s="11"/>
      <x:c r="H14" s="11"/>
      <x:c r="I14" s="11"/>
      <x:c r="J14" s="11"/>
      <x:c r="K14" s="11"/>
      <x:c r="L14" s="11"/>
      <x:c r="M14" s="11"/>
      <x:c r="N14" s="11"/>
      <x:c r="O14" s="11"/>
      <x:c r="P14" s="11"/>
      <x:c r="Q14" s="11"/>
      <x:c r="R14" s="11"/>
      <x:c r="S14" s="11"/>
      <x:c r="T14" s="11"/>
      <x:c r="U14" s="11"/>
      <x:c r="V14" s="11"/>
      <x:c r="W14" s="11"/>
      <x:c r="X14" s="11"/>
      <x:c r="Y14" s="11"/>
      <x:c r="Z14" s="11"/>
    </x:row>
    <x:row r="15">
      <x:c r="A15" s="11"/>
      <x:c r="B15" s="11"/>
      <x:c r="C15" s="11"/>
      <x:c r="D15" s="11"/>
      <x:c r="E15" s="11"/>
      <x:c r="F15" s="11"/>
      <x:c r="G15" s="11"/>
      <x:c r="H15" s="11"/>
      <x:c r="I15" s="11"/>
      <x:c r="J15" s="11"/>
      <x:c r="K15" s="11"/>
      <x:c r="L15" s="11"/>
      <x:c r="M15" s="11"/>
      <x:c r="N15" s="11"/>
      <x:c r="O15" s="11"/>
      <x:c r="P15" s="11"/>
      <x:c r="Q15" s="11"/>
      <x:c r="R15" s="11"/>
      <x:c r="S15" s="11"/>
      <x:c r="T15" s="11"/>
      <x:c r="U15" s="11"/>
      <x:c r="V15" s="11"/>
      <x:c r="W15" s="11"/>
      <x:c r="X15" s="11"/>
      <x:c r="Y15" s="11"/>
      <x:c r="Z15" s="11"/>
    </x:row>
    <x:row r="16">
      <x:c r="A16" s="11"/>
      <x:c r="B16" s="11"/>
      <x:c r="C16" s="11"/>
      <x:c r="D16" s="11"/>
      <x:c r="E16" s="11"/>
      <x:c r="F16" s="11"/>
      <x:c r="G16" s="11"/>
      <x:c r="H16" s="11"/>
      <x:c r="I16" s="11"/>
      <x:c r="J16" s="11"/>
      <x:c r="K16" s="11"/>
      <x:c r="L16" s="11"/>
      <x:c r="M16" s="11"/>
      <x:c r="N16" s="11"/>
      <x:c r="O16" s="11"/>
      <x:c r="P16" s="11"/>
      <x:c r="Q16" s="11"/>
      <x:c r="R16" s="11"/>
      <x:c r="S16" s="11"/>
      <x:c r="T16" s="11"/>
      <x:c r="U16" s="11"/>
      <x:c r="V16" s="11"/>
      <x:c r="W16" s="11"/>
      <x:c r="X16" s="11"/>
      <x:c r="Y16" s="11"/>
      <x:c r="Z16" s="11"/>
    </x:row>
    <x:row r="17">
      <x:c r="A17" s="11"/>
      <x:c r="B17" s="11"/>
      <x:c r="C17" s="11"/>
      <x:c r="D17" s="11"/>
      <x:c r="E17" s="11"/>
      <x:c r="F17" s="11"/>
      <x:c r="G17" s="11"/>
      <x:c r="H17" s="11"/>
      <x:c r="I17" s="11"/>
      <x:c r="J17" s="11"/>
      <x:c r="K17" s="11"/>
      <x:c r="L17" s="11"/>
      <x:c r="M17" s="11"/>
      <x:c r="N17" s="11"/>
      <x:c r="O17" s="11"/>
      <x:c r="P17" s="11"/>
      <x:c r="Q17" s="11"/>
      <x:c r="R17" s="11"/>
      <x:c r="S17" s="11"/>
      <x:c r="T17" s="11"/>
      <x:c r="U17" s="11"/>
      <x:c r="V17" s="11"/>
      <x:c r="W17" s="11"/>
      <x:c r="X17" s="11"/>
      <x:c r="Y17" s="11"/>
      <x:c r="Z17" s="11"/>
    </x:row>
    <x:row r="18">
      <x:c r="A18" s="11"/>
      <x:c r="B18" s="11"/>
      <x:c r="C18" s="11"/>
      <x:c r="D18" s="11"/>
      <x:c r="E18" s="11"/>
      <x:c r="F18" s="11"/>
      <x:c r="G18" s="11"/>
      <x:c r="H18" s="11"/>
      <x:c r="I18" s="11"/>
      <x:c r="J18" s="11"/>
      <x:c r="K18" s="11"/>
      <x:c r="L18" s="11"/>
      <x:c r="M18" s="11"/>
      <x:c r="N18" s="11"/>
      <x:c r="O18" s="11"/>
      <x:c r="P18" s="11"/>
      <x:c r="Q18" s="11"/>
      <x:c r="R18" s="11"/>
      <x:c r="S18" s="11"/>
      <x:c r="T18" s="11"/>
      <x:c r="U18" s="11"/>
      <x:c r="V18" s="11"/>
      <x:c r="W18" s="11"/>
      <x:c r="X18" s="11"/>
      <x:c r="Y18" s="11"/>
      <x:c r="Z18" s="11"/>
    </x:row>
    <x:row r="19">
      <x:c r="A19" s="11"/>
      <x:c r="B19" s="11"/>
      <x:c r="C19" s="11"/>
      <x:c r="D19" s="11"/>
      <x:c r="E19" s="11"/>
      <x:c r="F19" s="11"/>
      <x:c r="G19" s="11"/>
      <x:c r="H19" s="11"/>
      <x:c r="I19" s="11"/>
      <x:c r="J19" s="11"/>
      <x:c r="K19" s="11"/>
      <x:c r="L19" s="11"/>
      <x:c r="M19" s="11"/>
      <x:c r="N19" s="11"/>
      <x:c r="O19" s="11"/>
      <x:c r="P19" s="11"/>
      <x:c r="Q19" s="11"/>
      <x:c r="R19" s="11"/>
      <x:c r="S19" s="11"/>
      <x:c r="T19" s="11"/>
      <x:c r="U19" s="11"/>
      <x:c r="V19" s="11"/>
      <x:c r="W19" s="11"/>
      <x:c r="X19" s="11"/>
      <x:c r="Y19" s="11"/>
      <x:c r="Z19" s="11"/>
    </x:row>
    <x:row r="20">
      <x:c r="A20" s="11"/>
      <x:c r="B20" s="11"/>
      <x:c r="C20" s="11"/>
      <x:c r="D20" s="11"/>
      <x:c r="E20" s="11"/>
      <x:c r="F20" s="11"/>
      <x:c r="G20" s="11"/>
      <x:c r="H20" s="11"/>
      <x:c r="I20" s="11"/>
      <x:c r="J20" s="11"/>
      <x:c r="K20" s="11"/>
      <x:c r="L20" s="11"/>
      <x:c r="M20" s="11"/>
      <x:c r="N20" s="11"/>
      <x:c r="O20" s="11"/>
      <x:c r="P20" s="11"/>
      <x:c r="Q20" s="11"/>
      <x:c r="R20" s="11"/>
      <x:c r="S20" s="11"/>
      <x:c r="T20" s="11"/>
      <x:c r="U20" s="11"/>
      <x:c r="V20" s="11"/>
      <x:c r="W20" s="11"/>
      <x:c r="X20" s="11"/>
      <x:c r="Y20" s="11"/>
      <x:c r="Z20" s="11"/>
    </x:row>
    <x:row r="21">
      <x:c r="A21" s="11"/>
      <x:c r="B21" s="11"/>
      <x:c r="C21" s="11"/>
      <x:c r="D21" s="11"/>
      <x:c r="E21" s="11"/>
      <x:c r="F21" s="11"/>
      <x:c r="G21" s="11"/>
      <x:c r="H21" s="11"/>
      <x:c r="I21" s="11"/>
      <x:c r="J21" s="11"/>
      <x:c r="K21" s="11"/>
      <x:c r="L21" s="11"/>
      <x:c r="M21" s="11"/>
      <x:c r="N21" s="11"/>
      <x:c r="O21" s="11"/>
      <x:c r="P21" s="11"/>
      <x:c r="Q21" s="11"/>
      <x:c r="R21" s="11"/>
      <x:c r="S21" s="11"/>
      <x:c r="T21" s="11"/>
      <x:c r="U21" s="11"/>
      <x:c r="V21" s="11"/>
      <x:c r="W21" s="11"/>
      <x:c r="X21" s="11"/>
      <x:c r="Y21" s="11"/>
      <x:c r="Z21" s="11"/>
    </x:row>
    <x:row r="22">
      <x:c r="A22" s="11"/>
      <x:c r="B22" s="11"/>
      <x:c r="C22" s="11"/>
      <x:c r="D22" s="11"/>
      <x:c r="E22" s="11"/>
      <x:c r="F22" s="11"/>
      <x:c r="G22" s="11"/>
      <x:c r="H22" s="11"/>
      <x:c r="I22" s="11"/>
      <x:c r="J22" s="11"/>
      <x:c r="K22" s="11"/>
      <x:c r="L22" s="11"/>
      <x:c r="M22" s="11"/>
      <x:c r="N22" s="11"/>
      <x:c r="O22" s="11"/>
      <x:c r="P22" s="11"/>
      <x:c r="Q22" s="11"/>
      <x:c r="R22" s="11"/>
      <x:c r="S22" s="11"/>
      <x:c r="T22" s="11"/>
      <x:c r="U22" s="11"/>
      <x:c r="V22" s="11"/>
      <x:c r="W22" s="11"/>
      <x:c r="X22" s="11"/>
      <x:c r="Y22" s="11"/>
      <x:c r="Z22" s="11"/>
    </x:row>
    <x:row r="23">
      <x:c r="A23" s="11"/>
      <x:c r="B23" s="11"/>
      <x:c r="C23" s="11"/>
      <x:c r="D23" s="11"/>
      <x:c r="E23" s="11"/>
      <x:c r="F23" s="11"/>
      <x:c r="G23" s="11"/>
      <x:c r="H23" s="11"/>
      <x:c r="I23" s="11"/>
      <x:c r="J23" s="11"/>
      <x:c r="K23" s="11"/>
      <x:c r="L23" s="11"/>
      <x:c r="M23" s="11"/>
      <x:c r="N23" s="11"/>
      <x:c r="O23" s="11"/>
      <x:c r="P23" s="11"/>
      <x:c r="Q23" s="11"/>
      <x:c r="R23" s="11"/>
      <x:c r="S23" s="11"/>
      <x:c r="T23" s="11"/>
      <x:c r="U23" s="11"/>
      <x:c r="V23" s="11"/>
      <x:c r="W23" s="11"/>
      <x:c r="X23" s="11"/>
      <x:c r="Y23" s="11"/>
      <x:c r="Z23" s="11"/>
    </x:row>
    <x:row r="24">
      <x:c r="A24" s="11"/>
      <x:c r="B24" s="11"/>
      <x:c r="C24" s="11"/>
      <x:c r="D24" s="11"/>
      <x:c r="E24" s="11"/>
      <x:c r="F24" s="11"/>
      <x:c r="G24" s="11"/>
      <x:c r="H24" s="11"/>
      <x:c r="I24" s="11"/>
      <x:c r="J24" s="11"/>
      <x:c r="K24" s="11"/>
      <x:c r="L24" s="11"/>
      <x:c r="M24" s="11"/>
      <x:c r="N24" s="11"/>
      <x:c r="O24" s="11"/>
      <x:c r="P24" s="11"/>
      <x:c r="Q24" s="11"/>
      <x:c r="R24" s="11"/>
      <x:c r="S24" s="11"/>
      <x:c r="T24" s="11"/>
      <x:c r="U24" s="11"/>
      <x:c r="V24" s="11"/>
      <x:c r="W24" s="11"/>
      <x:c r="X24" s="11"/>
      <x:c r="Y24" s="11"/>
      <x:c r="Z24" s="11"/>
    </x:row>
    <x:row r="25">
      <x:c r="A25" s="11"/>
      <x:c r="B25" s="11"/>
      <x:c r="C25" s="11"/>
      <x:c r="D25" s="11"/>
      <x:c r="E25" s="11"/>
      <x:c r="F25" s="11"/>
      <x:c r="G25" s="11"/>
      <x:c r="H25" s="11"/>
      <x:c r="I25" s="11"/>
      <x:c r="J25" s="11"/>
      <x:c r="K25" s="11"/>
      <x:c r="L25" s="11"/>
      <x:c r="M25" s="11"/>
      <x:c r="N25" s="11"/>
      <x:c r="O25" s="11"/>
      <x:c r="P25" s="11"/>
      <x:c r="Q25" s="11"/>
      <x:c r="R25" s="11"/>
      <x:c r="S25" s="11"/>
      <x:c r="T25" s="11"/>
      <x:c r="U25" s="11"/>
      <x:c r="V25" s="11"/>
      <x:c r="W25" s="11"/>
      <x:c r="X25" s="11"/>
      <x:c r="Y25" s="11"/>
      <x:c r="Z25" s="11"/>
    </x:row>
    <x:row r="26">
      <x:c r="A26" s="11"/>
      <x:c r="B26" s="11"/>
      <x:c r="C26" s="11"/>
      <x:c r="D26" s="11"/>
      <x:c r="E26" s="11"/>
      <x:c r="F26" s="11"/>
      <x:c r="G26" s="11"/>
      <x:c r="H26" s="11"/>
      <x:c r="I26" s="11"/>
      <x:c r="J26" s="11"/>
      <x:c r="K26" s="11"/>
      <x:c r="L26" s="11"/>
      <x:c r="M26" s="11"/>
      <x:c r="N26" s="11"/>
      <x:c r="O26" s="11"/>
      <x:c r="P26" s="11"/>
      <x:c r="Q26" s="11"/>
      <x:c r="R26" s="11"/>
      <x:c r="S26" s="11"/>
      <x:c r="T26" s="11"/>
      <x:c r="U26" s="11"/>
      <x:c r="V26" s="11"/>
      <x:c r="W26" s="11"/>
      <x:c r="X26" s="11"/>
      <x:c r="Y26" s="11"/>
      <x:c r="Z26" s="11"/>
    </x:row>
    <x:row r="27">
      <x:c r="A27" s="11"/>
      <x:c r="B27" s="11"/>
      <x:c r="C27" s="11"/>
      <x:c r="D27" s="11"/>
      <x:c r="E27" s="11"/>
      <x:c r="F27" s="11"/>
      <x:c r="G27" s="11"/>
      <x:c r="H27" s="11"/>
      <x:c r="I27" s="11"/>
      <x:c r="J27" s="11"/>
      <x:c r="K27" s="11"/>
      <x:c r="L27" s="11"/>
      <x:c r="M27" s="11"/>
      <x:c r="N27" s="11"/>
      <x:c r="O27" s="11"/>
      <x:c r="P27" s="11"/>
      <x:c r="Q27" s="11"/>
      <x:c r="R27" s="11"/>
      <x:c r="S27" s="11"/>
      <x:c r="T27" s="11"/>
      <x:c r="U27" s="11"/>
      <x:c r="V27" s="11"/>
      <x:c r="W27" s="11"/>
      <x:c r="X27" s="11"/>
      <x:c r="Y27" s="11"/>
      <x:c r="Z27" s="11"/>
    </x:row>
    <x:row r="28">
      <x:c r="A28" s="11"/>
      <x:c r="B28" s="11"/>
      <x:c r="C28" s="11"/>
      <x:c r="D28" s="11"/>
      <x:c r="E28" s="11"/>
      <x:c r="F28" s="11"/>
      <x:c r="G28" s="11"/>
      <x:c r="H28" s="11"/>
      <x:c r="I28" s="11"/>
      <x:c r="J28" s="11"/>
      <x:c r="K28" s="11"/>
      <x:c r="L28" s="11"/>
      <x:c r="M28" s="11"/>
      <x:c r="N28" s="11"/>
      <x:c r="O28" s="11"/>
      <x:c r="P28" s="11"/>
      <x:c r="Q28" s="11"/>
      <x:c r="R28" s="11"/>
      <x:c r="S28" s="11"/>
      <x:c r="T28" s="11"/>
      <x:c r="U28" s="11"/>
      <x:c r="V28" s="11"/>
      <x:c r="W28" s="11"/>
      <x:c r="X28" s="11"/>
      <x:c r="Y28" s="11"/>
      <x:c r="Z28" s="11"/>
    </x:row>
    <x:row r="29">
      <x:c r="A29" s="11"/>
      <x:c r="B29" s="11"/>
      <x:c r="C29" s="11"/>
      <x:c r="D29" s="11"/>
      <x:c r="E29" s="11"/>
      <x:c r="F29" s="11"/>
      <x:c r="G29" s="11"/>
      <x:c r="H29" s="11"/>
      <x:c r="I29" s="11"/>
      <x:c r="J29" s="11"/>
      <x:c r="K29" s="11"/>
      <x:c r="L29" s="11"/>
      <x:c r="M29" s="11"/>
      <x:c r="N29" s="11"/>
      <x:c r="O29" s="11"/>
      <x:c r="P29" s="11"/>
      <x:c r="Q29" s="11"/>
      <x:c r="R29" s="11"/>
      <x:c r="S29" s="11"/>
      <x:c r="T29" s="11"/>
      <x:c r="U29" s="11"/>
      <x:c r="V29" s="11"/>
      <x:c r="W29" s="11"/>
      <x:c r="X29" s="11"/>
      <x:c r="Y29" s="11"/>
      <x:c r="Z29" s="11"/>
    </x:row>
    <x:row r="30">
      <x:c r="A30" s="11"/>
      <x:c r="B30" s="11"/>
      <x:c r="C30" s="11"/>
      <x:c r="D30" s="11"/>
      <x:c r="E30" s="11"/>
      <x:c r="F30" s="11"/>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sheetData>
  <x:mergeCells>
    <x:mergeCell ref="A2:H2"/>
    <x:mergeCell ref="A11:H13"/>
  </x:mergeCells>
  <x:conditionalFormatting sqref="F5:G7">
    <x:cfRule type="cellIs" dxfId="1" priority="1" operator="greaterThan">
      <x:formula>0</x:formula>
    </x:cfRule>
  </x:conditionalFormatting>
  <x:pageMargins left="0.7" right="0.7" top="0.75" bottom="0.75" header="0.3" footer="0.3"/>
</x:worksheet>
</file>

<file path=xl/worksheets/sheet8.xml><?xml version="1.0" encoding="utf-8"?>
<x:worksheet xmlns:x="http://schemas.openxmlformats.org/spreadsheetml/2006/main">
  <x:sheetPr>
    <x:tabColor rgb="FFA5A5A5"/>
  </x:sheetPr>
  <x:sheetViews>
    <x:sheetView showGridLines="0" workbookViewId="0"/>
  </x:sheetViews>
  <x:sheetFormatPr defaultRowHeight="15"/>
  <x:cols>
    <x:col min="1" max="1" width="48" hidden="0" customWidth="1"/>
    <x:col min="2" max="2" width="15" hidden="0" customWidth="1"/>
    <x:col min="3" max="3" width="12" hidden="0" customWidth="1"/>
    <x:col min="4" max="4" width="15" hidden="0" customWidth="1"/>
  </x:cols>
  <x:sheetData>
    <x:row r="1">
      <x:c r="A1" s="11"/>
      <x:c r="B1" s="11"/>
      <x:c r="C1" s="11"/>
      <x:c r="D1" s="11"/>
      <x:c r="E1" s="11"/>
      <x:c r="F1" s="11"/>
      <x:c r="G1" s="11"/>
      <x:c r="H1" s="11"/>
      <x:c r="I1" s="11"/>
      <x:c r="J1" s="11"/>
      <x:c r="K1" s="11"/>
      <x:c r="L1" s="11"/>
      <x:c r="M1" s="11"/>
      <x:c r="N1" s="11"/>
      <x:c r="O1" s="11"/>
      <x:c r="P1" s="11"/>
      <x:c r="Q1" s="11"/>
      <x:c r="R1" s="11"/>
      <x:c r="S1" s="11"/>
      <x:c r="T1" s="11"/>
      <x:c r="U1" s="11"/>
      <x:c r="V1" s="11"/>
      <x:c r="W1" s="11"/>
      <x:c r="X1" s="11"/>
      <x:c r="Y1" s="11"/>
      <x:c r="Z1" s="11"/>
    </x:row>
    <x:row r="2" ht="26" customHeight="1">
      <x:c r="A2" s="3" t="str">
        <x:v>Kiểm tra mô hình</x:v>
      </x:c>
      <x:c r="B2" s="3" t="str">
        <x:v>Kiểm tra mô hình</x:v>
      </x:c>
      <x:c r="C2" s="3" t="str">
        <x:v>Kiểm tra mô hình</x:v>
      </x:c>
      <x:c r="D2" s="3" t="str">
        <x:v>Kiểm tra mô hình</x:v>
      </x:c>
      <x:c r="E2" s="11"/>
      <x:c r="F2" s="11"/>
      <x:c r="G2" s="11"/>
      <x:c r="H2" s="11"/>
      <x:c r="I2" s="11"/>
      <x:c r="J2" s="11"/>
      <x:c r="K2" s="11"/>
      <x:c r="L2" s="11"/>
      <x:c r="M2" s="11"/>
      <x:c r="N2" s="11"/>
      <x:c r="O2" s="11"/>
      <x:c r="P2" s="11"/>
      <x:c r="Q2" s="11"/>
      <x:c r="R2" s="11"/>
      <x:c r="S2" s="11"/>
      <x:c r="T2" s="11"/>
      <x:c r="U2" s="11"/>
      <x:c r="V2" s="11"/>
      <x:c r="W2" s="11"/>
      <x:c r="X2" s="11"/>
      <x:c r="Y2" s="11"/>
      <x:c r="Z2" s="11"/>
    </x:row>
    <x:row r="3">
      <x:c r="A3" s="87"/>
      <x:c r="B3" s="87"/>
      <x:c r="C3" s="87"/>
      <x:c r="D3" s="87"/>
      <x:c r="E3" s="11"/>
      <x:c r="F3" s="11"/>
      <x:c r="G3" s="11"/>
      <x:c r="H3" s="11"/>
      <x:c r="I3" s="11"/>
      <x:c r="J3" s="11"/>
      <x:c r="K3" s="11"/>
      <x:c r="L3" s="11"/>
      <x:c r="M3" s="11"/>
      <x:c r="N3" s="11"/>
      <x:c r="O3" s="11"/>
      <x:c r="P3" s="11"/>
      <x:c r="Q3" s="11"/>
      <x:c r="R3" s="11"/>
      <x:c r="S3" s="11"/>
      <x:c r="T3" s="11"/>
      <x:c r="U3" s="11"/>
      <x:c r="V3" s="11"/>
      <x:c r="W3" s="11"/>
      <x:c r="X3" s="11"/>
      <x:c r="Y3" s="11"/>
      <x:c r="Z3" s="11"/>
    </x:row>
    <x:row r="4">
      <x:c r="A4" s="10" t="str">
        <x:v>Kiểm tra</x:v>
      </x:c>
      <x:c r="B4" s="10" t="str">
        <x:v>Giá trị</x:v>
      </x:c>
      <x:c r="C4" s="10" t="str">
        <x:v>Ngưỡng</x:v>
      </x:c>
      <x:c r="D4" s="10" t="str">
        <x:v>Kết quả</x:v>
      </x:c>
      <x:c r="E4" s="11"/>
      <x:c r="F4" s="11"/>
      <x:c r="G4" s="11"/>
      <x:c r="H4" s="11"/>
      <x:c r="I4" s="11"/>
      <x:c r="J4" s="11"/>
      <x:c r="K4" s="11"/>
      <x:c r="L4" s="11"/>
      <x:c r="M4" s="11"/>
      <x:c r="N4" s="11"/>
      <x:c r="O4" s="11"/>
      <x:c r="P4" s="11"/>
      <x:c r="Q4" s="11"/>
      <x:c r="R4" s="11"/>
      <x:c r="S4" s="11"/>
      <x:c r="T4" s="11"/>
      <x:c r="U4" s="11"/>
      <x:c r="V4" s="11"/>
      <x:c r="W4" s="11"/>
      <x:c r="X4" s="11"/>
      <x:c r="Y4" s="11"/>
      <x:c r="Z4" s="11"/>
    </x:row>
    <x:row r="5">
      <x:c r="A5" s="29" t="str">
        <x:v>Doanh thu 5 năm khớp chi tiết</x:v>
      </x:c>
      <x:c r="B5" s="80" t="n">
        <x:f>SUM('Mô hình 5 năm'!B12:F12)-SUM('Mô hình 5 năm'!B7:F7)-SUM('Mô hình 5 năm'!B10:F10)-SUM('Mô hình 5 năm'!B11:F11)</x:f>
        <x:v>0</x:v>
      </x:c>
      <x:c r="C5" s="80" t="n">
        <x:v>0.01</x:v>
      </x:c>
      <x:c r="D5" s="75" t="str">
        <x:f>IF(ABS(B5)&lt;=C5,"OK","Lệch")</x:f>
        <x:v>OK</x:v>
      </x:c>
      <x:c r="E5" s="11"/>
      <x:c r="F5" s="11"/>
      <x:c r="G5" s="11"/>
      <x:c r="H5" s="11"/>
      <x:c r="I5" s="11"/>
      <x:c r="J5" s="11"/>
      <x:c r="K5" s="11"/>
      <x:c r="L5" s="11"/>
      <x:c r="M5" s="11"/>
      <x:c r="N5" s="11"/>
      <x:c r="O5" s="11"/>
      <x:c r="P5" s="11"/>
      <x:c r="Q5" s="11"/>
      <x:c r="R5" s="11"/>
      <x:c r="S5" s="11"/>
      <x:c r="T5" s="11"/>
      <x:c r="U5" s="11"/>
      <x:c r="V5" s="11"/>
      <x:c r="W5" s="11"/>
      <x:c r="X5" s="11"/>
      <x:c r="Y5" s="11"/>
      <x:c r="Z5" s="11"/>
    </x:row>
    <x:row r="6">
      <x:c r="A6" s="30" t="str">
        <x:v>Chi phí 5 năm khớp giả định</x:v>
      </x:c>
      <x:c r="B6" s="81" t="n">
        <x:f>SUM('Mô hình 5 năm'!B18:F18)-SUM('Giả định'!B17:F17)</x:f>
        <x:v>0</x:v>
      </x:c>
      <x:c r="C6" s="81" t="n">
        <x:v>0.01</x:v>
      </x:c>
      <x:c r="D6" s="76" t="str">
        <x:f>IF(ABS(B6)&lt;=C6,"OK","Lệch")</x:f>
        <x:v>OK</x:v>
      </x:c>
      <x:c r="E6" s="11"/>
      <x:c r="F6" s="11"/>
      <x:c r="G6" s="11"/>
      <x:c r="H6" s="11"/>
      <x:c r="I6" s="11"/>
      <x:c r="J6" s="11"/>
      <x:c r="K6" s="11"/>
      <x:c r="L6" s="11"/>
      <x:c r="M6" s="11"/>
      <x:c r="N6" s="11"/>
      <x:c r="O6" s="11"/>
      <x:c r="P6" s="11"/>
      <x:c r="Q6" s="11"/>
      <x:c r="R6" s="11"/>
      <x:c r="S6" s="11"/>
      <x:c r="T6" s="11"/>
      <x:c r="U6" s="11"/>
      <x:c r="V6" s="11"/>
      <x:c r="W6" s="11"/>
      <x:c r="X6" s="11"/>
      <x:c r="Y6" s="11"/>
      <x:c r="Z6" s="11"/>
    </x:row>
    <x:row r="7">
      <x:c r="A7" s="30" t="str">
        <x:v>Doanh thu 24 tháng khớp Năm 1-2</x:v>
      </x:c>
      <x:c r="B7" s="81" t="n">
        <x:f>SUM('Dòng tiền 24 tháng'!G5:G28)-SUM('Mô hình 5 năm'!B12:C12)</x:f>
        <x:v>0</x:v>
      </x:c>
      <x:c r="C7" s="81" t="n">
        <x:v>0.01</x:v>
      </x:c>
      <x:c r="D7" s="76" t="str">
        <x:f>IF(ABS(B7)&lt;=C7,"OK","Lệch")</x:f>
        <x:v>OK</x:v>
      </x:c>
      <x:c r="E7" s="11"/>
      <x:c r="F7" s="11"/>
      <x:c r="G7" s="11"/>
      <x:c r="H7" s="11"/>
      <x:c r="I7" s="11"/>
      <x:c r="J7" s="11"/>
      <x:c r="K7" s="11"/>
      <x:c r="L7" s="11"/>
      <x:c r="M7" s="11"/>
      <x:c r="N7" s="11"/>
      <x:c r="O7" s="11"/>
      <x:c r="P7" s="11"/>
      <x:c r="Q7" s="11"/>
      <x:c r="R7" s="11"/>
      <x:c r="S7" s="11"/>
      <x:c r="T7" s="11"/>
      <x:c r="U7" s="11"/>
      <x:c r="V7" s="11"/>
      <x:c r="W7" s="11"/>
      <x:c r="X7" s="11"/>
      <x:c r="Y7" s="11"/>
      <x:c r="Z7" s="11"/>
    </x:row>
    <x:row r="8">
      <x:c r="A8" s="30" t="str">
        <x:v>Opex 24 tháng khớp Năm 1-2</x:v>
      </x:c>
      <x:c r="B8" s="81" t="n">
        <x:f>SUM('Dòng tiền 24 tháng'!H5:L28)-SUM('Mô hình 5 năm'!B18:C18)</x:f>
        <x:v>0</x:v>
      </x:c>
      <x:c r="C8" s="81" t="n">
        <x:v>0.01</x:v>
      </x:c>
      <x:c r="D8" s="76" t="str">
        <x:f>IF(ABS(B8)&lt;=C8,"OK","Lệch")</x:f>
        <x:v>OK</x:v>
      </x:c>
      <x:c r="E8" s="11"/>
      <x:c r="F8" s="11"/>
      <x:c r="G8" s="11"/>
      <x:c r="H8" s="11"/>
      <x:c r="I8" s="11"/>
      <x:c r="J8" s="11"/>
      <x:c r="K8" s="11"/>
      <x:c r="L8" s="11"/>
      <x:c r="M8" s="11"/>
      <x:c r="N8" s="11"/>
      <x:c r="O8" s="11"/>
      <x:c r="P8" s="11"/>
      <x:c r="Q8" s="11"/>
      <x:c r="R8" s="11"/>
      <x:c r="S8" s="11"/>
      <x:c r="T8" s="11"/>
      <x:c r="U8" s="11"/>
      <x:c r="V8" s="11"/>
      <x:c r="W8" s="11"/>
      <x:c r="X8" s="11"/>
      <x:c r="Y8" s="11"/>
      <x:c r="Z8" s="11"/>
    </x:row>
    <x:row r="9">
      <x:c r="A9" s="30" t="str">
        <x:v>Capex 24 tháng khớp Năm 1-2</x:v>
      </x:c>
      <x:c r="B9" s="81" t="n">
        <x:f>SUM('Dòng tiền 24 tháng'!N5:N28)-SUM('Mô hình 5 năm'!B25:C25)</x:f>
        <x:v>0</x:v>
      </x:c>
      <x:c r="C9" s="81" t="n">
        <x:v>0.01</x:v>
      </x:c>
      <x:c r="D9" s="76" t="str">
        <x:f>IF(ABS(B9)&lt;=C9,"OK","Lệch")</x:f>
        <x:v>OK</x:v>
      </x:c>
      <x:c r="E9" s="11"/>
      <x:c r="F9" s="11"/>
      <x:c r="G9" s="11"/>
      <x:c r="H9" s="11"/>
      <x:c r="I9" s="11"/>
      <x:c r="J9" s="11"/>
      <x:c r="K9" s="11"/>
      <x:c r="L9" s="11"/>
      <x:c r="M9" s="11"/>
      <x:c r="N9" s="11"/>
      <x:c r="O9" s="11"/>
      <x:c r="P9" s="11"/>
      <x:c r="Q9" s="11"/>
      <x:c r="R9" s="11"/>
      <x:c r="S9" s="11"/>
      <x:c r="T9" s="11"/>
      <x:c r="U9" s="11"/>
      <x:c r="V9" s="11"/>
      <x:c r="W9" s="11"/>
      <x:c r="X9" s="11"/>
      <x:c r="Y9" s="11"/>
      <x:c r="Z9" s="11"/>
    </x:row>
    <x:row r="10">
      <x:c r="A10" s="30" t="str">
        <x:v>Nguồn vốn theo tranche khớp 1.800</x:v>
      </x:c>
      <x:c r="B10" s="81" t="n">
        <x:f>'Nguồn vốn'!G8-1800</x:f>
        <x:v>0</x:v>
      </x:c>
      <x:c r="C10" s="81" t="n">
        <x:v>0.01</x:v>
      </x:c>
      <x:c r="D10" s="76" t="str">
        <x:f>IF(ABS(B10)&lt;=C10,"OK","Lệch")</x:f>
        <x:v>OK</x:v>
      </x:c>
      <x:c r="E10" s="11"/>
      <x:c r="F10" s="11"/>
      <x:c r="G10" s="11"/>
      <x:c r="H10" s="11"/>
      <x:c r="I10" s="11"/>
      <x:c r="J10" s="11"/>
      <x:c r="K10" s="11"/>
      <x:c r="L10" s="11"/>
      <x:c r="M10" s="11"/>
      <x:c r="N10" s="11"/>
      <x:c r="O10" s="11"/>
      <x:c r="P10" s="11"/>
      <x:c r="Q10" s="11"/>
      <x:c r="R10" s="11"/>
      <x:c r="S10" s="11"/>
      <x:c r="T10" s="11"/>
      <x:c r="U10" s="11"/>
      <x:c r="V10" s="11"/>
      <x:c r="W10" s="11"/>
      <x:c r="X10" s="11"/>
      <x:c r="Y10" s="11"/>
      <x:c r="Z10" s="11"/>
    </x:row>
    <x:row r="11">
      <x:c r="A11" s="30" t="str">
        <x:v>Cơ cấu nguồn vốn khớp tranche</x:v>
      </x:c>
      <x:c r="B11" s="81" t="n">
        <x:f>'Nguồn vốn'!G18-'Nguồn vốn'!G8</x:f>
        <x:v>0</x:v>
      </x:c>
      <x:c r="C11" s="81" t="n">
        <x:v>0.01</x:v>
      </x:c>
      <x:c r="D11" s="76" t="str">
        <x:f>IF(ABS(B11)&lt;=C11,"OK","Lệch")</x:f>
        <x:v>OK</x:v>
      </x:c>
      <x:c r="E11" s="11"/>
      <x:c r="F11" s="11"/>
      <x:c r="G11" s="11"/>
      <x:c r="H11" s="11"/>
      <x:c r="I11" s="11"/>
      <x:c r="J11" s="11"/>
      <x:c r="K11" s="11"/>
      <x:c r="L11" s="11"/>
      <x:c r="M11" s="11"/>
      <x:c r="N11" s="11"/>
      <x:c r="O11" s="11"/>
      <x:c r="P11" s="11"/>
      <x:c r="Q11" s="11"/>
      <x:c r="R11" s="11"/>
      <x:c r="S11" s="11"/>
      <x:c r="T11" s="11"/>
      <x:c r="U11" s="11"/>
      <x:c r="V11" s="11"/>
      <x:c r="W11" s="11"/>
      <x:c r="X11" s="11"/>
      <x:c r="Y11" s="11"/>
      <x:c r="Z11" s="11"/>
    </x:row>
    <x:row r="12">
      <x:c r="A12" s="30" t="str">
        <x:v>Tiền cuối Tháng 24 khớp cuối Năm 2</x:v>
      </x:c>
      <x:c r="B12" s="81" t="n">
        <x:f>'Dòng tiền 24 tháng'!P28-'Mô hình 5 năm'!C29</x:f>
        <x:v>0</x:v>
      </x:c>
      <x:c r="C12" s="81" t="n">
        <x:v>0.01</x:v>
      </x:c>
      <x:c r="D12" s="76" t="str">
        <x:f>IF(ABS(B12)&lt;=C12,"OK","Lệch")</x:f>
        <x:v>OK</x:v>
      </x:c>
      <x:c r="E12" s="11"/>
      <x:c r="F12" s="11"/>
      <x:c r="G12" s="11"/>
      <x:c r="H12" s="11"/>
      <x:c r="I12" s="11"/>
      <x:c r="J12" s="11"/>
      <x:c r="K12" s="11"/>
      <x:c r="L12" s="11"/>
      <x:c r="M12" s="11"/>
      <x:c r="N12" s="11"/>
      <x:c r="O12" s="11"/>
      <x:c r="P12" s="11"/>
      <x:c r="Q12" s="11"/>
      <x:c r="R12" s="11"/>
      <x:c r="S12" s="11"/>
      <x:c r="T12" s="11"/>
      <x:c r="U12" s="11"/>
      <x:c r="V12" s="11"/>
      <x:c r="W12" s="11"/>
      <x:c r="X12" s="11"/>
      <x:c r="Y12" s="11"/>
      <x:c r="Z12" s="11"/>
    </x:row>
    <x:row r="13">
      <x:c r="A13" s="30" t="str">
        <x:v>Nợ ngân hàng trong 24 tháng đầu bằng 0</x:v>
      </x:c>
      <x:c r="B13" s="81" t="n">
        <x:f>SUM('Mô hình 5 năm'!B30:C30)</x:f>
        <x:v>0</x:v>
      </x:c>
      <x:c r="C13" s="81" t="n">
        <x:v>0.01</x:v>
      </x:c>
      <x:c r="D13" s="76" t="str">
        <x:f>IF(ABS(B13)&lt;=C13,"OK","Lệch")</x:f>
        <x:v>OK</x:v>
      </x:c>
      <x:c r="E13" s="11"/>
      <x:c r="F13" s="11"/>
      <x:c r="G13" s="11"/>
      <x:c r="H13" s="11"/>
      <x:c r="I13" s="11"/>
      <x:c r="J13" s="11"/>
      <x:c r="K13" s="11"/>
      <x:c r="L13" s="11"/>
      <x:c r="M13" s="11"/>
      <x:c r="N13" s="11"/>
      <x:c r="O13" s="11"/>
      <x:c r="P13" s="11"/>
      <x:c r="Q13" s="11"/>
      <x:c r="R13" s="11"/>
      <x:c r="S13" s="11"/>
      <x:c r="T13" s="11"/>
      <x:c r="U13" s="11"/>
      <x:c r="V13" s="11"/>
      <x:c r="W13" s="11"/>
      <x:c r="X13" s="11"/>
      <x:c r="Y13" s="11"/>
      <x:c r="Z13" s="11"/>
    </x:row>
    <x:row r="14">
      <x:c r="A14" s="11"/>
      <x:c r="B14" s="11"/>
      <x:c r="C14" s="11"/>
      <x:c r="D14" s="11"/>
      <x:c r="E14" s="11"/>
      <x:c r="F14" s="11"/>
      <x:c r="G14" s="11"/>
      <x:c r="H14" s="11"/>
      <x:c r="I14" s="11"/>
      <x:c r="J14" s="11"/>
      <x:c r="K14" s="11"/>
      <x:c r="L14" s="11"/>
      <x:c r="M14" s="11"/>
      <x:c r="N14" s="11"/>
      <x:c r="O14" s="11"/>
      <x:c r="P14" s="11"/>
      <x:c r="Q14" s="11"/>
      <x:c r="R14" s="11"/>
      <x:c r="S14" s="11"/>
      <x:c r="T14" s="11"/>
      <x:c r="U14" s="11"/>
      <x:c r="V14" s="11"/>
      <x:c r="W14" s="11"/>
      <x:c r="X14" s="11"/>
      <x:c r="Y14" s="11"/>
      <x:c r="Z14" s="11"/>
    </x:row>
    <x:row r="15">
      <x:c r="A15" s="11"/>
      <x:c r="B15" s="11"/>
      <x:c r="C15" s="11"/>
      <x:c r="D15" s="11"/>
      <x:c r="E15" s="11"/>
      <x:c r="F15" s="11"/>
      <x:c r="G15" s="11"/>
      <x:c r="H15" s="11"/>
      <x:c r="I15" s="11"/>
      <x:c r="J15" s="11"/>
      <x:c r="K15" s="11"/>
      <x:c r="L15" s="11"/>
      <x:c r="M15" s="11"/>
      <x:c r="N15" s="11"/>
      <x:c r="O15" s="11"/>
      <x:c r="P15" s="11"/>
      <x:c r="Q15" s="11"/>
      <x:c r="R15" s="11"/>
      <x:c r="S15" s="11"/>
      <x:c r="T15" s="11"/>
      <x:c r="U15" s="11"/>
      <x:c r="V15" s="11"/>
      <x:c r="W15" s="11"/>
      <x:c r="X15" s="11"/>
      <x:c r="Y15" s="11"/>
      <x:c r="Z15" s="11"/>
    </x:row>
    <x:row r="16">
      <x:c r="A16" s="11"/>
      <x:c r="B16" s="11"/>
      <x:c r="C16" s="11"/>
      <x:c r="D16" s="11"/>
      <x:c r="E16" s="11"/>
      <x:c r="F16" s="11"/>
      <x:c r="G16" s="11"/>
      <x:c r="H16" s="11"/>
      <x:c r="I16" s="11"/>
      <x:c r="J16" s="11"/>
      <x:c r="K16" s="11"/>
      <x:c r="L16" s="11"/>
      <x:c r="M16" s="11"/>
      <x:c r="N16" s="11"/>
      <x:c r="O16" s="11"/>
      <x:c r="P16" s="11"/>
      <x:c r="Q16" s="11"/>
      <x:c r="R16" s="11"/>
      <x:c r="S16" s="11"/>
      <x:c r="T16" s="11"/>
      <x:c r="U16" s="11"/>
      <x:c r="V16" s="11"/>
      <x:c r="W16" s="11"/>
      <x:c r="X16" s="11"/>
      <x:c r="Y16" s="11"/>
      <x:c r="Z16" s="11"/>
    </x:row>
    <x:row r="17">
      <x:c r="A17" s="11"/>
      <x:c r="B17" s="11"/>
      <x:c r="C17" s="11"/>
      <x:c r="D17" s="11"/>
      <x:c r="E17" s="11"/>
      <x:c r="F17" s="11"/>
      <x:c r="G17" s="11"/>
      <x:c r="H17" s="11"/>
      <x:c r="I17" s="11"/>
      <x:c r="J17" s="11"/>
      <x:c r="K17" s="11"/>
      <x:c r="L17" s="11"/>
      <x:c r="M17" s="11"/>
      <x:c r="N17" s="11"/>
      <x:c r="O17" s="11"/>
      <x:c r="P17" s="11"/>
      <x:c r="Q17" s="11"/>
      <x:c r="R17" s="11"/>
      <x:c r="S17" s="11"/>
      <x:c r="T17" s="11"/>
      <x:c r="U17" s="11"/>
      <x:c r="V17" s="11"/>
      <x:c r="W17" s="11"/>
      <x:c r="X17" s="11"/>
      <x:c r="Y17" s="11"/>
      <x:c r="Z17" s="11"/>
    </x:row>
    <x:row r="18">
      <x:c r="A18" s="11"/>
      <x:c r="B18" s="11"/>
      <x:c r="C18" s="11"/>
      <x:c r="D18" s="11"/>
      <x:c r="E18" s="11"/>
      <x:c r="F18" s="11"/>
      <x:c r="G18" s="11"/>
      <x:c r="H18" s="11"/>
      <x:c r="I18" s="11"/>
      <x:c r="J18" s="11"/>
      <x:c r="K18" s="11"/>
      <x:c r="L18" s="11"/>
      <x:c r="M18" s="11"/>
      <x:c r="N18" s="11"/>
      <x:c r="O18" s="11"/>
      <x:c r="P18" s="11"/>
      <x:c r="Q18" s="11"/>
      <x:c r="R18" s="11"/>
      <x:c r="S18" s="11"/>
      <x:c r="T18" s="11"/>
      <x:c r="U18" s="11"/>
      <x:c r="V18" s="11"/>
      <x:c r="W18" s="11"/>
      <x:c r="X18" s="11"/>
      <x:c r="Y18" s="11"/>
      <x:c r="Z18" s="11"/>
    </x:row>
    <x:row r="19">
      <x:c r="A19" s="11"/>
      <x:c r="B19" s="11"/>
      <x:c r="C19" s="11"/>
      <x:c r="D19" s="11"/>
      <x:c r="E19" s="11"/>
      <x:c r="F19" s="11"/>
      <x:c r="G19" s="11"/>
      <x:c r="H19" s="11"/>
      <x:c r="I19" s="11"/>
      <x:c r="J19" s="11"/>
      <x:c r="K19" s="11"/>
      <x:c r="L19" s="11"/>
      <x:c r="M19" s="11"/>
      <x:c r="N19" s="11"/>
      <x:c r="O19" s="11"/>
      <x:c r="P19" s="11"/>
      <x:c r="Q19" s="11"/>
      <x:c r="R19" s="11"/>
      <x:c r="S19" s="11"/>
      <x:c r="T19" s="11"/>
      <x:c r="U19" s="11"/>
      <x:c r="V19" s="11"/>
      <x:c r="W19" s="11"/>
      <x:c r="X19" s="11"/>
      <x:c r="Y19" s="11"/>
      <x:c r="Z19" s="11"/>
    </x:row>
    <x:row r="20">
      <x:c r="A20" s="11"/>
      <x:c r="B20" s="11"/>
      <x:c r="C20" s="11"/>
      <x:c r="D20" s="11"/>
      <x:c r="E20" s="11"/>
      <x:c r="F20" s="11"/>
      <x:c r="G20" s="11"/>
      <x:c r="H20" s="11"/>
      <x:c r="I20" s="11"/>
      <x:c r="J20" s="11"/>
      <x:c r="K20" s="11"/>
      <x:c r="L20" s="11"/>
      <x:c r="M20" s="11"/>
      <x:c r="N20" s="11"/>
      <x:c r="O20" s="11"/>
      <x:c r="P20" s="11"/>
      <x:c r="Q20" s="11"/>
      <x:c r="R20" s="11"/>
      <x:c r="S20" s="11"/>
      <x:c r="T20" s="11"/>
      <x:c r="U20" s="11"/>
      <x:c r="V20" s="11"/>
      <x:c r="W20" s="11"/>
      <x:c r="X20" s="11"/>
      <x:c r="Y20" s="11"/>
      <x:c r="Z20" s="11"/>
    </x:row>
    <x:row r="21">
      <x:c r="A21" s="11"/>
      <x:c r="B21" s="11"/>
      <x:c r="C21" s="11"/>
      <x:c r="D21" s="11"/>
      <x:c r="E21" s="11"/>
      <x:c r="F21" s="11"/>
      <x:c r="G21" s="11"/>
      <x:c r="H21" s="11"/>
      <x:c r="I21" s="11"/>
      <x:c r="J21" s="11"/>
      <x:c r="K21" s="11"/>
      <x:c r="L21" s="11"/>
      <x:c r="M21" s="11"/>
      <x:c r="N21" s="11"/>
      <x:c r="O21" s="11"/>
      <x:c r="P21" s="11"/>
      <x:c r="Q21" s="11"/>
      <x:c r="R21" s="11"/>
      <x:c r="S21" s="11"/>
      <x:c r="T21" s="11"/>
      <x:c r="U21" s="11"/>
      <x:c r="V21" s="11"/>
      <x:c r="W21" s="11"/>
      <x:c r="X21" s="11"/>
      <x:c r="Y21" s="11"/>
      <x:c r="Z21" s="11"/>
    </x:row>
    <x:row r="22">
      <x:c r="A22" s="11"/>
      <x:c r="B22" s="11"/>
      <x:c r="C22" s="11"/>
      <x:c r="D22" s="11"/>
      <x:c r="E22" s="11"/>
      <x:c r="F22" s="11"/>
      <x:c r="G22" s="11"/>
      <x:c r="H22" s="11"/>
      <x:c r="I22" s="11"/>
      <x:c r="J22" s="11"/>
      <x:c r="K22" s="11"/>
      <x:c r="L22" s="11"/>
      <x:c r="M22" s="11"/>
      <x:c r="N22" s="11"/>
      <x:c r="O22" s="11"/>
      <x:c r="P22" s="11"/>
      <x:c r="Q22" s="11"/>
      <x:c r="R22" s="11"/>
      <x:c r="S22" s="11"/>
      <x:c r="T22" s="11"/>
      <x:c r="U22" s="11"/>
      <x:c r="V22" s="11"/>
      <x:c r="W22" s="11"/>
      <x:c r="X22" s="11"/>
      <x:c r="Y22" s="11"/>
      <x:c r="Z22" s="11"/>
    </x:row>
    <x:row r="23">
      <x:c r="A23" s="11"/>
      <x:c r="B23" s="11"/>
      <x:c r="C23" s="11"/>
      <x:c r="D23" s="11"/>
      <x:c r="E23" s="11"/>
      <x:c r="F23" s="11"/>
      <x:c r="G23" s="11"/>
      <x:c r="H23" s="11"/>
      <x:c r="I23" s="11"/>
      <x:c r="J23" s="11"/>
      <x:c r="K23" s="11"/>
      <x:c r="L23" s="11"/>
      <x:c r="M23" s="11"/>
      <x:c r="N23" s="11"/>
      <x:c r="O23" s="11"/>
      <x:c r="P23" s="11"/>
      <x:c r="Q23" s="11"/>
      <x:c r="R23" s="11"/>
      <x:c r="S23" s="11"/>
      <x:c r="T23" s="11"/>
      <x:c r="U23" s="11"/>
      <x:c r="V23" s="11"/>
      <x:c r="W23" s="11"/>
      <x:c r="X23" s="11"/>
      <x:c r="Y23" s="11"/>
      <x:c r="Z23" s="11"/>
    </x:row>
    <x:row r="24">
      <x:c r="A24" s="11"/>
      <x:c r="B24" s="11"/>
      <x:c r="C24" s="11"/>
      <x:c r="D24" s="11"/>
      <x:c r="E24" s="11"/>
      <x:c r="F24" s="11"/>
      <x:c r="G24" s="11"/>
      <x:c r="H24" s="11"/>
      <x:c r="I24" s="11"/>
      <x:c r="J24" s="11"/>
      <x:c r="K24" s="11"/>
      <x:c r="L24" s="11"/>
      <x:c r="M24" s="11"/>
      <x:c r="N24" s="11"/>
      <x:c r="O24" s="11"/>
      <x:c r="P24" s="11"/>
      <x:c r="Q24" s="11"/>
      <x:c r="R24" s="11"/>
      <x:c r="S24" s="11"/>
      <x:c r="T24" s="11"/>
      <x:c r="U24" s="11"/>
      <x:c r="V24" s="11"/>
      <x:c r="W24" s="11"/>
      <x:c r="X24" s="11"/>
      <x:c r="Y24" s="11"/>
      <x:c r="Z24" s="11"/>
    </x:row>
    <x:row r="25">
      <x:c r="A25" s="11"/>
      <x:c r="B25" s="11"/>
      <x:c r="C25" s="11"/>
      <x:c r="D25" s="11"/>
      <x:c r="E25" s="11"/>
      <x:c r="F25" s="11"/>
      <x:c r="G25" s="11"/>
      <x:c r="H25" s="11"/>
      <x:c r="I25" s="11"/>
      <x:c r="J25" s="11"/>
      <x:c r="K25" s="11"/>
      <x:c r="L25" s="11"/>
      <x:c r="M25" s="11"/>
      <x:c r="N25" s="11"/>
      <x:c r="O25" s="11"/>
      <x:c r="P25" s="11"/>
      <x:c r="Q25" s="11"/>
      <x:c r="R25" s="11"/>
      <x:c r="S25" s="11"/>
      <x:c r="T25" s="11"/>
      <x:c r="U25" s="11"/>
      <x:c r="V25" s="11"/>
      <x:c r="W25" s="11"/>
      <x:c r="X25" s="11"/>
      <x:c r="Y25" s="11"/>
      <x:c r="Z25" s="11"/>
    </x:row>
    <x:row r="26">
      <x:c r="A26" s="11"/>
      <x:c r="B26" s="11"/>
      <x:c r="C26" s="11"/>
      <x:c r="D26" s="11"/>
      <x:c r="E26" s="11"/>
      <x:c r="F26" s="11"/>
      <x:c r="G26" s="11"/>
      <x:c r="H26" s="11"/>
      <x:c r="I26" s="11"/>
      <x:c r="J26" s="11"/>
      <x:c r="K26" s="11"/>
      <x:c r="L26" s="11"/>
      <x:c r="M26" s="11"/>
      <x:c r="N26" s="11"/>
      <x:c r="O26" s="11"/>
      <x:c r="P26" s="11"/>
      <x:c r="Q26" s="11"/>
      <x:c r="R26" s="11"/>
      <x:c r="S26" s="11"/>
      <x:c r="T26" s="11"/>
      <x:c r="U26" s="11"/>
      <x:c r="V26" s="11"/>
      <x:c r="W26" s="11"/>
      <x:c r="X26" s="11"/>
      <x:c r="Y26" s="11"/>
      <x:c r="Z26" s="11"/>
    </x:row>
    <x:row r="27">
      <x:c r="A27" s="11"/>
      <x:c r="B27" s="11"/>
      <x:c r="C27" s="11"/>
      <x:c r="D27" s="11"/>
      <x:c r="E27" s="11"/>
      <x:c r="F27" s="11"/>
      <x:c r="G27" s="11"/>
      <x:c r="H27" s="11"/>
      <x:c r="I27" s="11"/>
      <x:c r="J27" s="11"/>
      <x:c r="K27" s="11"/>
      <x:c r="L27" s="11"/>
      <x:c r="M27" s="11"/>
      <x:c r="N27" s="11"/>
      <x:c r="O27" s="11"/>
      <x:c r="P27" s="11"/>
      <x:c r="Q27" s="11"/>
      <x:c r="R27" s="11"/>
      <x:c r="S27" s="11"/>
      <x:c r="T27" s="11"/>
      <x:c r="U27" s="11"/>
      <x:c r="V27" s="11"/>
      <x:c r="W27" s="11"/>
      <x:c r="X27" s="11"/>
      <x:c r="Y27" s="11"/>
      <x:c r="Z27" s="11"/>
    </x:row>
    <x:row r="28">
      <x:c r="A28" s="11"/>
      <x:c r="B28" s="11"/>
      <x:c r="C28" s="11"/>
      <x:c r="D28" s="11"/>
      <x:c r="E28" s="11"/>
      <x:c r="F28" s="11"/>
      <x:c r="G28" s="11"/>
      <x:c r="H28" s="11"/>
      <x:c r="I28" s="11"/>
      <x:c r="J28" s="11"/>
      <x:c r="K28" s="11"/>
      <x:c r="L28" s="11"/>
      <x:c r="M28" s="11"/>
      <x:c r="N28" s="11"/>
      <x:c r="O28" s="11"/>
      <x:c r="P28" s="11"/>
      <x:c r="Q28" s="11"/>
      <x:c r="R28" s="11"/>
      <x:c r="S28" s="11"/>
      <x:c r="T28" s="11"/>
      <x:c r="U28" s="11"/>
      <x:c r="V28" s="11"/>
      <x:c r="W28" s="11"/>
      <x:c r="X28" s="11"/>
      <x:c r="Y28" s="11"/>
      <x:c r="Z28" s="11"/>
    </x:row>
    <x:row r="29">
      <x:c r="A29" s="11"/>
      <x:c r="B29" s="11"/>
      <x:c r="C29" s="11"/>
      <x:c r="D29" s="11"/>
      <x:c r="E29" s="11"/>
      <x:c r="F29" s="11"/>
      <x:c r="G29" s="11"/>
      <x:c r="H29" s="11"/>
      <x:c r="I29" s="11"/>
      <x:c r="J29" s="11"/>
      <x:c r="K29" s="11"/>
      <x:c r="L29" s="11"/>
      <x:c r="M29" s="11"/>
      <x:c r="N29" s="11"/>
      <x:c r="O29" s="11"/>
      <x:c r="P29" s="11"/>
      <x:c r="Q29" s="11"/>
      <x:c r="R29" s="11"/>
      <x:c r="S29" s="11"/>
      <x:c r="T29" s="11"/>
      <x:c r="U29" s="11"/>
      <x:c r="V29" s="11"/>
      <x:c r="W29" s="11"/>
      <x:c r="X29" s="11"/>
      <x:c r="Y29" s="11"/>
      <x:c r="Z29" s="11"/>
    </x:row>
    <x:row r="30">
      <x:c r="A30" s="11"/>
      <x:c r="B30" s="11"/>
      <x:c r="C30" s="11"/>
      <x:c r="D30" s="11"/>
      <x:c r="E30" s="11"/>
      <x:c r="F30" s="11"/>
      <x:c r="G30" s="11"/>
      <x:c r="H30" s="11"/>
      <x:c r="I30" s="11"/>
      <x:c r="J30" s="11"/>
      <x:c r="K30" s="11"/>
      <x:c r="L30" s="11"/>
      <x:c r="M30" s="11"/>
      <x:c r="N30" s="11"/>
      <x:c r="O30" s="11"/>
      <x:c r="P30" s="11"/>
      <x:c r="Q30" s="11"/>
      <x:c r="R30" s="11"/>
      <x:c r="S30" s="11"/>
      <x:c r="T30" s="11"/>
      <x:c r="U30" s="11"/>
      <x:c r="V30" s="11"/>
      <x:c r="W30" s="11"/>
      <x:c r="X30" s="11"/>
      <x:c r="Y30" s="11"/>
      <x:c r="Z30" s="11"/>
    </x:row>
    <x:row r="31">
      <x:c r="A31" s="11"/>
      <x:c r="B31" s="11"/>
      <x:c r="C31" s="11"/>
      <x:c r="D31" s="11"/>
      <x:c r="E31" s="11"/>
      <x:c r="F31" s="11"/>
      <x:c r="G31" s="11"/>
      <x:c r="H31" s="11"/>
      <x:c r="I31" s="11"/>
      <x:c r="J31" s="11"/>
      <x:c r="K31" s="11"/>
      <x:c r="L31" s="11"/>
      <x:c r="M31" s="11"/>
      <x:c r="N31" s="11"/>
      <x:c r="O31" s="11"/>
      <x:c r="P31" s="11"/>
      <x:c r="Q31" s="11"/>
      <x:c r="R31" s="11"/>
      <x:c r="S31" s="11"/>
      <x:c r="T31" s="11"/>
      <x:c r="U31" s="11"/>
      <x:c r="V31" s="11"/>
      <x:c r="W31" s="11"/>
      <x:c r="X31" s="11"/>
      <x:c r="Y31" s="11"/>
      <x:c r="Z31" s="11"/>
    </x:row>
    <x:row r="32">
      <x:c r="A32" s="11"/>
      <x:c r="B32" s="11"/>
      <x:c r="C32" s="11"/>
      <x:c r="D32" s="11"/>
      <x:c r="E32" s="11"/>
      <x:c r="F32" s="11"/>
      <x:c r="G32" s="11"/>
      <x:c r="H32" s="11"/>
      <x:c r="I32" s="11"/>
      <x:c r="J32" s="11"/>
      <x:c r="K32" s="11"/>
      <x:c r="L32" s="11"/>
      <x:c r="M32" s="11"/>
      <x:c r="N32" s="11"/>
      <x:c r="O32" s="11"/>
      <x:c r="P32" s="11"/>
      <x:c r="Q32" s="11"/>
      <x:c r="R32" s="11"/>
      <x:c r="S32" s="11"/>
      <x:c r="T32" s="11"/>
      <x:c r="U32" s="11"/>
      <x:c r="V32" s="11"/>
      <x:c r="W32" s="11"/>
      <x:c r="X32" s="11"/>
      <x:c r="Y32" s="11"/>
      <x:c r="Z32" s="11"/>
    </x:row>
    <x:row r="33">
      <x:c r="A33" s="11"/>
      <x:c r="B33" s="11"/>
      <x:c r="C33" s="11"/>
      <x:c r="D33" s="11"/>
      <x:c r="E33" s="11"/>
      <x:c r="F33" s="11"/>
      <x:c r="G33" s="11"/>
      <x:c r="H33" s="11"/>
      <x:c r="I33" s="11"/>
      <x:c r="J33" s="11"/>
      <x:c r="K33" s="11"/>
      <x:c r="L33" s="11"/>
      <x:c r="M33" s="11"/>
      <x:c r="N33" s="11"/>
      <x:c r="O33" s="11"/>
      <x:c r="P33" s="11"/>
      <x:c r="Q33" s="11"/>
      <x:c r="R33" s="11"/>
      <x:c r="S33" s="11"/>
      <x:c r="T33" s="11"/>
      <x:c r="U33" s="11"/>
      <x:c r="V33" s="11"/>
      <x:c r="W33" s="11"/>
      <x:c r="X33" s="11"/>
      <x:c r="Y33" s="11"/>
      <x:c r="Z33" s="11"/>
    </x:row>
    <x:row r="34">
      <x:c r="A34" s="11"/>
      <x:c r="B34" s="11"/>
      <x:c r="C34" s="11"/>
      <x:c r="D34" s="11"/>
      <x:c r="E34" s="11"/>
      <x:c r="F34" s="11"/>
      <x:c r="G34" s="11"/>
      <x:c r="H34" s="11"/>
      <x:c r="I34" s="11"/>
      <x:c r="J34" s="11"/>
      <x:c r="K34" s="11"/>
      <x:c r="L34" s="11"/>
      <x:c r="M34" s="11"/>
      <x:c r="N34" s="11"/>
      <x:c r="O34" s="11"/>
      <x:c r="P34" s="11"/>
      <x:c r="Q34" s="11"/>
      <x:c r="R34" s="11"/>
      <x:c r="S34" s="11"/>
      <x:c r="T34" s="11"/>
      <x:c r="U34" s="11"/>
      <x:c r="V34" s="11"/>
      <x:c r="W34" s="11"/>
      <x:c r="X34" s="11"/>
      <x:c r="Y34" s="11"/>
      <x:c r="Z34" s="11"/>
    </x:row>
    <x:row r="35">
      <x:c r="A35" s="11"/>
      <x:c r="B35" s="11"/>
      <x:c r="C35" s="11"/>
      <x:c r="D35" s="11"/>
      <x:c r="E35" s="11"/>
      <x:c r="F35" s="11"/>
      <x:c r="G35" s="11"/>
      <x:c r="H35" s="11"/>
      <x:c r="I35" s="11"/>
      <x:c r="J35" s="11"/>
      <x:c r="K35" s="11"/>
      <x:c r="L35" s="11"/>
      <x:c r="M35" s="11"/>
      <x:c r="N35" s="11"/>
      <x:c r="O35" s="11"/>
      <x:c r="P35" s="11"/>
      <x:c r="Q35" s="11"/>
      <x:c r="R35" s="11"/>
      <x:c r="S35" s="11"/>
      <x:c r="T35" s="11"/>
      <x:c r="U35" s="11"/>
      <x:c r="V35" s="11"/>
      <x:c r="W35" s="11"/>
      <x:c r="X35" s="11"/>
      <x:c r="Y35" s="11"/>
      <x:c r="Z35" s="11"/>
    </x:row>
    <x:row r="36">
      <x:c r="A36" s="11"/>
      <x:c r="B36" s="11"/>
      <x:c r="C36" s="11"/>
      <x:c r="D36" s="11"/>
      <x:c r="E36" s="11"/>
      <x:c r="F36" s="11"/>
      <x:c r="G36" s="11"/>
      <x:c r="H36" s="11"/>
      <x:c r="I36" s="11"/>
      <x:c r="J36" s="11"/>
      <x:c r="K36" s="11"/>
      <x:c r="L36" s="11"/>
      <x:c r="M36" s="11"/>
      <x:c r="N36" s="11"/>
      <x:c r="O36" s="11"/>
      <x:c r="P36" s="11"/>
      <x:c r="Q36" s="11"/>
      <x:c r="R36" s="11"/>
      <x:c r="S36" s="11"/>
      <x:c r="T36" s="11"/>
      <x:c r="U36" s="11"/>
      <x:c r="V36" s="11"/>
      <x:c r="W36" s="11"/>
      <x:c r="X36" s="11"/>
      <x:c r="Y36" s="11"/>
      <x:c r="Z36" s="11"/>
    </x:row>
    <x:row r="37">
      <x:c r="A37" s="11"/>
      <x:c r="B37" s="11"/>
      <x:c r="C37" s="11"/>
      <x:c r="D37" s="11"/>
      <x:c r="E37" s="11"/>
      <x:c r="F37" s="11"/>
      <x:c r="G37" s="11"/>
      <x:c r="H37" s="11"/>
      <x:c r="I37" s="11"/>
      <x:c r="J37" s="11"/>
      <x:c r="K37" s="11"/>
      <x:c r="L37" s="11"/>
      <x:c r="M37" s="11"/>
      <x:c r="N37" s="11"/>
      <x:c r="O37" s="11"/>
      <x:c r="P37" s="11"/>
      <x:c r="Q37" s="11"/>
      <x:c r="R37" s="11"/>
      <x:c r="S37" s="11"/>
      <x:c r="T37" s="11"/>
      <x:c r="U37" s="11"/>
      <x:c r="V37" s="11"/>
      <x:c r="W37" s="11"/>
      <x:c r="X37" s="11"/>
      <x:c r="Y37" s="11"/>
      <x:c r="Z37" s="11"/>
    </x:row>
    <x:row r="38">
      <x:c r="A38" s="11"/>
      <x:c r="B38" s="11"/>
      <x:c r="C38" s="11"/>
      <x:c r="D38" s="11"/>
      <x:c r="E38" s="11"/>
      <x:c r="F38" s="11"/>
      <x:c r="G38" s="11"/>
      <x:c r="H38" s="11"/>
      <x:c r="I38" s="11"/>
      <x:c r="J38" s="11"/>
      <x:c r="K38" s="11"/>
      <x:c r="L38" s="11"/>
      <x:c r="M38" s="11"/>
      <x:c r="N38" s="11"/>
      <x:c r="O38" s="11"/>
      <x:c r="P38" s="11"/>
      <x:c r="Q38" s="11"/>
      <x:c r="R38" s="11"/>
      <x:c r="S38" s="11"/>
      <x:c r="T38" s="11"/>
      <x:c r="U38" s="11"/>
      <x:c r="V38" s="11"/>
      <x:c r="W38" s="11"/>
      <x:c r="X38" s="11"/>
      <x:c r="Y38" s="11"/>
      <x:c r="Z38" s="11"/>
    </x:row>
    <x:row r="39">
      <x:c r="A39" s="11"/>
      <x:c r="B39" s="11"/>
      <x:c r="C39" s="11"/>
      <x:c r="D39" s="11"/>
      <x:c r="E39" s="11"/>
      <x:c r="F39" s="11"/>
      <x:c r="G39" s="11"/>
      <x:c r="H39" s="11"/>
      <x:c r="I39" s="11"/>
      <x:c r="J39" s="11"/>
      <x:c r="K39" s="11"/>
      <x:c r="L39" s="11"/>
      <x:c r="M39" s="11"/>
      <x:c r="N39" s="11"/>
      <x:c r="O39" s="11"/>
      <x:c r="P39" s="11"/>
      <x:c r="Q39" s="11"/>
      <x:c r="R39" s="11"/>
      <x:c r="S39" s="11"/>
      <x:c r="T39" s="11"/>
      <x:c r="U39" s="11"/>
      <x:c r="V39" s="11"/>
      <x:c r="W39" s="11"/>
      <x:c r="X39" s="11"/>
      <x:c r="Y39" s="11"/>
      <x:c r="Z39" s="11"/>
    </x:row>
    <x:row r="40">
      <x:c r="A40" s="11"/>
      <x:c r="B40" s="11"/>
      <x:c r="C40" s="11"/>
      <x:c r="D40" s="11"/>
      <x:c r="E40" s="11"/>
      <x:c r="F40" s="11"/>
      <x:c r="G40" s="11"/>
      <x:c r="H40" s="11"/>
      <x:c r="I40" s="11"/>
      <x:c r="J40" s="11"/>
      <x:c r="K40" s="11"/>
      <x:c r="L40" s="11"/>
      <x:c r="M40" s="11"/>
      <x:c r="N40" s="11"/>
      <x:c r="O40" s="11"/>
      <x:c r="P40" s="11"/>
      <x:c r="Q40" s="11"/>
      <x:c r="R40" s="11"/>
      <x:c r="S40" s="11"/>
      <x:c r="T40" s="11"/>
      <x:c r="U40" s="11"/>
      <x:c r="V40" s="11"/>
      <x:c r="W40" s="11"/>
      <x:c r="X40" s="11"/>
      <x:c r="Y40" s="11"/>
      <x:c r="Z40" s="11"/>
    </x:row>
    <x:row r="41">
      <x:c r="A41" s="11"/>
      <x:c r="B41" s="11"/>
      <x:c r="C41" s="11"/>
      <x:c r="D41" s="11"/>
      <x:c r="E41" s="11"/>
      <x:c r="F41" s="11"/>
      <x:c r="G41" s="11"/>
      <x:c r="H41" s="11"/>
      <x:c r="I41" s="11"/>
      <x:c r="J41" s="11"/>
      <x:c r="K41" s="11"/>
      <x:c r="L41" s="11"/>
      <x:c r="M41" s="11"/>
      <x:c r="N41" s="11"/>
      <x:c r="O41" s="11"/>
      <x:c r="P41" s="11"/>
      <x:c r="Q41" s="11"/>
      <x:c r="R41" s="11"/>
      <x:c r="S41" s="11"/>
      <x:c r="T41" s="11"/>
      <x:c r="U41" s="11"/>
      <x:c r="V41" s="11"/>
      <x:c r="W41" s="11"/>
      <x:c r="X41" s="11"/>
      <x:c r="Y41" s="11"/>
      <x:c r="Z41" s="11"/>
    </x:row>
    <x:row r="42">
      <x:c r="A42" s="11"/>
      <x:c r="B42" s="11"/>
      <x:c r="C42" s="11"/>
      <x:c r="D42" s="11"/>
      <x:c r="E42" s="11"/>
      <x:c r="F42" s="11"/>
      <x:c r="G42" s="11"/>
      <x:c r="H42" s="11"/>
      <x:c r="I42" s="11"/>
      <x:c r="J42" s="11"/>
      <x:c r="K42" s="11"/>
      <x:c r="L42" s="11"/>
      <x:c r="M42" s="11"/>
      <x:c r="N42" s="11"/>
      <x:c r="O42" s="11"/>
      <x:c r="P42" s="11"/>
      <x:c r="Q42" s="11"/>
      <x:c r="R42" s="11"/>
      <x:c r="S42" s="11"/>
      <x:c r="T42" s="11"/>
      <x:c r="U42" s="11"/>
      <x:c r="V42" s="11"/>
      <x:c r="W42" s="11"/>
      <x:c r="X42" s="11"/>
      <x:c r="Y42" s="11"/>
      <x:c r="Z42" s="11"/>
    </x:row>
    <x:row r="43">
      <x:c r="A43" s="11"/>
      <x:c r="B43" s="11"/>
      <x:c r="C43" s="11"/>
      <x:c r="D43" s="11"/>
      <x:c r="E43" s="11"/>
      <x:c r="F43" s="11"/>
      <x:c r="G43" s="11"/>
      <x:c r="H43" s="11"/>
      <x:c r="I43" s="11"/>
      <x:c r="J43" s="11"/>
      <x:c r="K43" s="11"/>
      <x:c r="L43" s="11"/>
      <x:c r="M43" s="11"/>
      <x:c r="N43" s="11"/>
      <x:c r="O43" s="11"/>
      <x:c r="P43" s="11"/>
      <x:c r="Q43" s="11"/>
      <x:c r="R43" s="11"/>
      <x:c r="S43" s="11"/>
      <x:c r="T43" s="11"/>
      <x:c r="U43" s="11"/>
      <x:c r="V43" s="11"/>
      <x:c r="W43" s="11"/>
      <x:c r="X43" s="11"/>
      <x:c r="Y43" s="11"/>
      <x:c r="Z43" s="11"/>
    </x:row>
    <x:row r="44">
      <x:c r="A44" s="11"/>
      <x:c r="B44" s="11"/>
      <x:c r="C44" s="11"/>
      <x:c r="D44" s="11"/>
      <x:c r="E44" s="11"/>
      <x:c r="F44" s="11"/>
      <x:c r="G44" s="11"/>
      <x:c r="H44" s="11"/>
      <x:c r="I44" s="11"/>
      <x:c r="J44" s="11"/>
      <x:c r="K44" s="11"/>
      <x:c r="L44" s="11"/>
      <x:c r="M44" s="11"/>
      <x:c r="N44" s="11"/>
      <x:c r="O44" s="11"/>
      <x:c r="P44" s="11"/>
      <x:c r="Q44" s="11"/>
      <x:c r="R44" s="11"/>
      <x:c r="S44" s="11"/>
      <x:c r="T44" s="11"/>
      <x:c r="U44" s="11"/>
      <x:c r="V44" s="11"/>
      <x:c r="W44" s="11"/>
      <x:c r="X44" s="11"/>
      <x:c r="Y44" s="11"/>
      <x:c r="Z44" s="11"/>
    </x:row>
    <x:row r="45">
      <x:c r="A45" s="11"/>
      <x:c r="B45" s="11"/>
      <x:c r="C45" s="11"/>
      <x:c r="D45" s="11"/>
      <x:c r="E45" s="11"/>
      <x:c r="F45" s="11"/>
      <x:c r="G45" s="11"/>
      <x:c r="H45" s="11"/>
      <x:c r="I45" s="11"/>
      <x:c r="J45" s="11"/>
      <x:c r="K45" s="11"/>
      <x:c r="L45" s="11"/>
      <x:c r="M45" s="11"/>
      <x:c r="N45" s="11"/>
      <x:c r="O45" s="11"/>
      <x:c r="P45" s="11"/>
      <x:c r="Q45" s="11"/>
      <x:c r="R45" s="11"/>
      <x:c r="S45" s="11"/>
      <x:c r="T45" s="11"/>
      <x:c r="U45" s="11"/>
      <x:c r="V45" s="11"/>
      <x:c r="W45" s="11"/>
      <x:c r="X45" s="11"/>
      <x:c r="Y45" s="11"/>
      <x:c r="Z45" s="11"/>
    </x:row>
    <x:row r="46">
      <x:c r="A46" s="11"/>
      <x:c r="B46" s="11"/>
      <x:c r="C46" s="11"/>
      <x:c r="D46" s="11"/>
      <x:c r="E46" s="11"/>
      <x:c r="F46" s="11"/>
      <x:c r="G46" s="11"/>
      <x:c r="H46" s="11"/>
      <x:c r="I46" s="11"/>
      <x:c r="J46" s="11"/>
      <x:c r="K46" s="11"/>
      <x:c r="L46" s="11"/>
      <x:c r="M46" s="11"/>
      <x:c r="N46" s="11"/>
      <x:c r="O46" s="11"/>
      <x:c r="P46" s="11"/>
      <x:c r="Q46" s="11"/>
      <x:c r="R46" s="11"/>
      <x:c r="S46" s="11"/>
      <x:c r="T46" s="11"/>
      <x:c r="U46" s="11"/>
      <x:c r="V46" s="11"/>
      <x:c r="W46" s="11"/>
      <x:c r="X46" s="11"/>
      <x:c r="Y46" s="11"/>
      <x:c r="Z46" s="11"/>
    </x:row>
    <x:row r="47">
      <x:c r="A47" s="11"/>
      <x:c r="B47" s="11"/>
      <x:c r="C47" s="11"/>
      <x:c r="D47" s="11"/>
      <x:c r="E47" s="11"/>
      <x:c r="F47" s="11"/>
      <x:c r="G47" s="11"/>
      <x:c r="H47" s="11"/>
      <x:c r="I47" s="11"/>
      <x:c r="J47" s="11"/>
      <x:c r="K47" s="11"/>
      <x:c r="L47" s="11"/>
      <x:c r="M47" s="11"/>
      <x:c r="N47" s="11"/>
      <x:c r="O47" s="11"/>
      <x:c r="P47" s="11"/>
      <x:c r="Q47" s="11"/>
      <x:c r="R47" s="11"/>
      <x:c r="S47" s="11"/>
      <x:c r="T47" s="11"/>
      <x:c r="U47" s="11"/>
      <x:c r="V47" s="11"/>
      <x:c r="W47" s="11"/>
      <x:c r="X47" s="11"/>
      <x:c r="Y47" s="11"/>
      <x:c r="Z47" s="11"/>
    </x:row>
    <x:row r="48">
      <x:c r="A48" s="11"/>
      <x:c r="B48" s="11"/>
      <x:c r="C48" s="11"/>
      <x:c r="D48" s="11"/>
      <x:c r="E48" s="11"/>
      <x:c r="F48" s="11"/>
      <x:c r="G48" s="11"/>
      <x:c r="H48" s="11"/>
      <x:c r="I48" s="11"/>
      <x:c r="J48" s="11"/>
      <x:c r="K48" s="11"/>
      <x:c r="L48" s="11"/>
      <x:c r="M48" s="11"/>
      <x:c r="N48" s="11"/>
      <x:c r="O48" s="11"/>
      <x:c r="P48" s="11"/>
      <x:c r="Q48" s="11"/>
      <x:c r="R48" s="11"/>
      <x:c r="S48" s="11"/>
      <x:c r="T48" s="11"/>
      <x:c r="U48" s="11"/>
      <x:c r="V48" s="11"/>
      <x:c r="W48" s="11"/>
      <x:c r="X48" s="11"/>
      <x:c r="Y48" s="11"/>
      <x:c r="Z48" s="11"/>
    </x:row>
    <x:row r="49">
      <x:c r="A49" s="11"/>
      <x:c r="B49" s="11"/>
      <x:c r="C49" s="11"/>
      <x:c r="D49" s="11"/>
      <x:c r="E49" s="11"/>
      <x:c r="F49" s="11"/>
      <x:c r="G49" s="11"/>
      <x:c r="H49" s="11"/>
      <x:c r="I49" s="11"/>
      <x:c r="J49" s="11"/>
      <x:c r="K49" s="11"/>
      <x:c r="L49" s="11"/>
      <x:c r="M49" s="11"/>
      <x:c r="N49" s="11"/>
      <x:c r="O49" s="11"/>
      <x:c r="P49" s="11"/>
      <x:c r="Q49" s="11"/>
      <x:c r="R49" s="11"/>
      <x:c r="S49" s="11"/>
      <x:c r="T49" s="11"/>
      <x:c r="U49" s="11"/>
      <x:c r="V49" s="11"/>
      <x:c r="W49" s="11"/>
      <x:c r="X49" s="11"/>
      <x:c r="Y49" s="11"/>
      <x:c r="Z49" s="11"/>
    </x:row>
    <x:row r="50">
      <x:c r="A50" s="11"/>
      <x:c r="B50" s="11"/>
      <x:c r="C50" s="11"/>
      <x:c r="D50" s="11"/>
      <x:c r="E50" s="11"/>
      <x:c r="F50" s="11"/>
      <x:c r="G50" s="11"/>
      <x:c r="H50" s="11"/>
      <x:c r="I50" s="11"/>
      <x:c r="J50" s="11"/>
      <x:c r="K50" s="11"/>
      <x:c r="L50" s="11"/>
      <x:c r="M50" s="11"/>
      <x:c r="N50" s="11"/>
      <x:c r="O50" s="11"/>
      <x:c r="P50" s="11"/>
      <x:c r="Q50" s="11"/>
      <x:c r="R50" s="11"/>
      <x:c r="S50" s="11"/>
      <x:c r="T50" s="11"/>
      <x:c r="U50" s="11"/>
      <x:c r="V50" s="11"/>
      <x:c r="W50" s="11"/>
      <x:c r="X50" s="11"/>
      <x:c r="Y50" s="11"/>
      <x:c r="Z50" s="11"/>
    </x:row>
    <x:row r="51">
      <x:c r="A51" s="11"/>
      <x:c r="B51" s="11"/>
      <x:c r="C51" s="11"/>
      <x:c r="D51" s="11"/>
      <x:c r="E51" s="11"/>
      <x:c r="F51" s="11"/>
      <x:c r="G51" s="11"/>
      <x:c r="H51" s="11"/>
      <x:c r="I51" s="11"/>
      <x:c r="J51" s="11"/>
      <x:c r="K51" s="11"/>
      <x:c r="L51" s="11"/>
      <x:c r="M51" s="11"/>
      <x:c r="N51" s="11"/>
      <x:c r="O51" s="11"/>
      <x:c r="P51" s="11"/>
      <x:c r="Q51" s="11"/>
      <x:c r="R51" s="11"/>
      <x:c r="S51" s="11"/>
      <x:c r="T51" s="11"/>
      <x:c r="U51" s="11"/>
      <x:c r="V51" s="11"/>
      <x:c r="W51" s="11"/>
      <x:c r="X51" s="11"/>
      <x:c r="Y51" s="11"/>
      <x:c r="Z51" s="11"/>
    </x:row>
    <x:row r="52">
      <x:c r="A52" s="11"/>
      <x:c r="B52" s="11"/>
      <x:c r="C52" s="11"/>
      <x:c r="D52" s="11"/>
      <x:c r="E52" s="11"/>
      <x:c r="F52" s="11"/>
      <x:c r="G52" s="11"/>
      <x:c r="H52" s="11"/>
      <x:c r="I52" s="11"/>
      <x:c r="J52" s="11"/>
      <x:c r="K52" s="11"/>
      <x:c r="L52" s="11"/>
      <x:c r="M52" s="11"/>
      <x:c r="N52" s="11"/>
      <x:c r="O52" s="11"/>
      <x:c r="P52" s="11"/>
      <x:c r="Q52" s="11"/>
      <x:c r="R52" s="11"/>
      <x:c r="S52" s="11"/>
      <x:c r="T52" s="11"/>
      <x:c r="U52" s="11"/>
      <x:c r="V52" s="11"/>
      <x:c r="W52" s="11"/>
      <x:c r="X52" s="11"/>
      <x:c r="Y52" s="11"/>
      <x:c r="Z52" s="11"/>
    </x:row>
    <x:row r="53">
      <x:c r="A53" s="11"/>
      <x:c r="B53" s="11"/>
      <x:c r="C53" s="11"/>
      <x:c r="D53" s="11"/>
      <x:c r="E53" s="11"/>
      <x:c r="F53" s="11"/>
      <x:c r="G53" s="11"/>
      <x:c r="H53" s="11"/>
      <x:c r="I53" s="11"/>
      <x:c r="J53" s="11"/>
      <x:c r="K53" s="11"/>
      <x:c r="L53" s="11"/>
      <x:c r="M53" s="11"/>
      <x:c r="N53" s="11"/>
      <x:c r="O53" s="11"/>
      <x:c r="P53" s="11"/>
      <x:c r="Q53" s="11"/>
      <x:c r="R53" s="11"/>
      <x:c r="S53" s="11"/>
      <x:c r="T53" s="11"/>
      <x:c r="U53" s="11"/>
      <x:c r="V53" s="11"/>
      <x:c r="W53" s="11"/>
      <x:c r="X53" s="11"/>
      <x:c r="Y53" s="11"/>
      <x:c r="Z53" s="11"/>
    </x:row>
    <x:row r="54">
      <x:c r="A54" s="11"/>
      <x:c r="B54" s="11"/>
      <x:c r="C54" s="11"/>
      <x:c r="D54" s="11"/>
      <x:c r="E54" s="11"/>
      <x:c r="F54" s="11"/>
      <x:c r="G54" s="11"/>
      <x:c r="H54" s="11"/>
      <x:c r="I54" s="11"/>
      <x:c r="J54" s="11"/>
      <x:c r="K54" s="11"/>
      <x:c r="L54" s="11"/>
      <x:c r="M54" s="11"/>
      <x:c r="N54" s="11"/>
      <x:c r="O54" s="11"/>
      <x:c r="P54" s="11"/>
      <x:c r="Q54" s="11"/>
      <x:c r="R54" s="11"/>
      <x:c r="S54" s="11"/>
      <x:c r="T54" s="11"/>
      <x:c r="U54" s="11"/>
      <x:c r="V54" s="11"/>
      <x:c r="W54" s="11"/>
      <x:c r="X54" s="11"/>
      <x:c r="Y54" s="11"/>
      <x:c r="Z54" s="11"/>
    </x:row>
    <x:row r="55">
      <x:c r="A55" s="11"/>
      <x:c r="B55" s="11"/>
      <x:c r="C55" s="11"/>
      <x:c r="D55" s="11"/>
      <x:c r="E55" s="11"/>
      <x:c r="F55" s="11"/>
      <x:c r="G55" s="11"/>
      <x:c r="H55" s="11"/>
      <x:c r="I55" s="11"/>
      <x:c r="J55" s="11"/>
      <x:c r="K55" s="11"/>
      <x:c r="L55" s="11"/>
      <x:c r="M55" s="11"/>
      <x:c r="N55" s="11"/>
      <x:c r="O55" s="11"/>
      <x:c r="P55" s="11"/>
      <x:c r="Q55" s="11"/>
      <x:c r="R55" s="11"/>
      <x:c r="S55" s="11"/>
      <x:c r="T55" s="11"/>
      <x:c r="U55" s="11"/>
      <x:c r="V55" s="11"/>
      <x:c r="W55" s="11"/>
      <x:c r="X55" s="11"/>
      <x:c r="Y55" s="11"/>
      <x:c r="Z55" s="11"/>
    </x:row>
    <x:row r="56">
      <x:c r="A56" s="11"/>
      <x:c r="B56" s="11"/>
      <x:c r="C56" s="11"/>
      <x:c r="D56" s="11"/>
      <x:c r="E56" s="11"/>
      <x:c r="F56" s="11"/>
      <x:c r="G56" s="11"/>
      <x:c r="H56" s="11"/>
      <x:c r="I56" s="11"/>
      <x:c r="J56" s="11"/>
      <x:c r="K56" s="11"/>
      <x:c r="L56" s="11"/>
      <x:c r="M56" s="11"/>
      <x:c r="N56" s="11"/>
      <x:c r="O56" s="11"/>
      <x:c r="P56" s="11"/>
      <x:c r="Q56" s="11"/>
      <x:c r="R56" s="11"/>
      <x:c r="S56" s="11"/>
      <x:c r="T56" s="11"/>
      <x:c r="U56" s="11"/>
      <x:c r="V56" s="11"/>
      <x:c r="W56" s="11"/>
      <x:c r="X56" s="11"/>
      <x:c r="Y56" s="11"/>
      <x:c r="Z56" s="11"/>
    </x:row>
    <x:row r="57">
      <x:c r="A57" s="11"/>
      <x:c r="B57" s="11"/>
      <x:c r="C57" s="11"/>
      <x:c r="D57" s="11"/>
      <x:c r="E57" s="11"/>
      <x:c r="F57" s="11"/>
      <x:c r="G57" s="11"/>
      <x:c r="H57" s="11"/>
      <x:c r="I57" s="11"/>
      <x:c r="J57" s="11"/>
      <x:c r="K57" s="11"/>
      <x:c r="L57" s="11"/>
      <x:c r="M57" s="11"/>
      <x:c r="N57" s="11"/>
      <x:c r="O57" s="11"/>
      <x:c r="P57" s="11"/>
      <x:c r="Q57" s="11"/>
      <x:c r="R57" s="11"/>
      <x:c r="S57" s="11"/>
      <x:c r="T57" s="11"/>
      <x:c r="U57" s="11"/>
      <x:c r="V57" s="11"/>
      <x:c r="W57" s="11"/>
      <x:c r="X57" s="11"/>
      <x:c r="Y57" s="11"/>
      <x:c r="Z57" s="11"/>
    </x:row>
    <x:row r="58">
      <x:c r="A58" s="11"/>
      <x:c r="B58" s="11"/>
      <x:c r="C58" s="11"/>
      <x:c r="D58" s="11"/>
      <x:c r="E58" s="11"/>
      <x:c r="F58" s="11"/>
      <x:c r="G58" s="11"/>
      <x:c r="H58" s="11"/>
      <x:c r="I58" s="11"/>
      <x:c r="J58" s="11"/>
      <x:c r="K58" s="11"/>
      <x:c r="L58" s="11"/>
      <x:c r="M58" s="11"/>
      <x:c r="N58" s="11"/>
      <x:c r="O58" s="11"/>
      <x:c r="P58" s="11"/>
      <x:c r="Q58" s="11"/>
      <x:c r="R58" s="11"/>
      <x:c r="S58" s="11"/>
      <x:c r="T58" s="11"/>
      <x:c r="U58" s="11"/>
      <x:c r="V58" s="11"/>
      <x:c r="W58" s="11"/>
      <x:c r="X58" s="11"/>
      <x:c r="Y58" s="11"/>
      <x:c r="Z58" s="11"/>
    </x:row>
    <x:row r="59">
      <x:c r="A59" s="11"/>
      <x:c r="B59" s="11"/>
      <x:c r="C59" s="11"/>
      <x:c r="D59" s="11"/>
      <x:c r="E59" s="11"/>
      <x:c r="F59" s="11"/>
      <x:c r="G59" s="11"/>
      <x:c r="H59" s="11"/>
      <x:c r="I59" s="11"/>
      <x:c r="J59" s="11"/>
      <x:c r="K59" s="11"/>
      <x:c r="L59" s="11"/>
      <x:c r="M59" s="11"/>
      <x:c r="N59" s="11"/>
      <x:c r="O59" s="11"/>
      <x:c r="P59" s="11"/>
      <x:c r="Q59" s="11"/>
      <x:c r="R59" s="11"/>
      <x:c r="S59" s="11"/>
      <x:c r="T59" s="11"/>
      <x:c r="U59" s="11"/>
      <x:c r="V59" s="11"/>
      <x:c r="W59" s="11"/>
      <x:c r="X59" s="11"/>
      <x:c r="Y59" s="11"/>
      <x:c r="Z59" s="11"/>
    </x:row>
    <x:row r="60">
      <x:c r="A60" s="11"/>
      <x:c r="B60" s="11"/>
      <x:c r="C60" s="11"/>
      <x:c r="D60" s="11"/>
      <x:c r="E60" s="11"/>
      <x:c r="F60" s="11"/>
      <x:c r="G60" s="11"/>
      <x:c r="H60" s="11"/>
      <x:c r="I60" s="11"/>
      <x:c r="J60" s="11"/>
      <x:c r="K60" s="11"/>
      <x:c r="L60" s="11"/>
      <x:c r="M60" s="11"/>
      <x:c r="N60" s="11"/>
      <x:c r="O60" s="11"/>
      <x:c r="P60" s="11"/>
      <x:c r="Q60" s="11"/>
      <x:c r="R60" s="11"/>
      <x:c r="S60" s="11"/>
      <x:c r="T60" s="11"/>
      <x:c r="U60" s="11"/>
      <x:c r="V60" s="11"/>
      <x:c r="W60" s="11"/>
      <x:c r="X60" s="11"/>
      <x:c r="Y60" s="11"/>
      <x:c r="Z60" s="11"/>
    </x:row>
    <x:row r="61">
      <x:c r="A61" s="11"/>
      <x:c r="B61" s="11"/>
      <x:c r="C61" s="11"/>
      <x:c r="D61" s="11"/>
      <x:c r="E61" s="11"/>
      <x:c r="F61" s="11"/>
      <x:c r="G61" s="11"/>
      <x:c r="H61" s="11"/>
      <x:c r="I61" s="11"/>
      <x:c r="J61" s="11"/>
      <x:c r="K61" s="11"/>
      <x:c r="L61" s="11"/>
      <x:c r="M61" s="11"/>
      <x:c r="N61" s="11"/>
      <x:c r="O61" s="11"/>
      <x:c r="P61" s="11"/>
      <x:c r="Q61" s="11"/>
      <x:c r="R61" s="11"/>
      <x:c r="S61" s="11"/>
      <x:c r="T61" s="11"/>
      <x:c r="U61" s="11"/>
      <x:c r="V61" s="11"/>
      <x:c r="W61" s="11"/>
      <x:c r="X61" s="11"/>
      <x:c r="Y61" s="11"/>
      <x:c r="Z61" s="11"/>
    </x:row>
    <x:row r="62">
      <x:c r="A62" s="11"/>
      <x:c r="B62" s="11"/>
      <x:c r="C62" s="11"/>
      <x:c r="D62" s="11"/>
      <x:c r="E62" s="11"/>
      <x:c r="F62" s="11"/>
      <x:c r="G62" s="11"/>
      <x:c r="H62" s="11"/>
      <x:c r="I62" s="11"/>
      <x:c r="J62" s="11"/>
      <x:c r="K62" s="11"/>
      <x:c r="L62" s="11"/>
      <x:c r="M62" s="11"/>
      <x:c r="N62" s="11"/>
      <x:c r="O62" s="11"/>
      <x:c r="P62" s="11"/>
      <x:c r="Q62" s="11"/>
      <x:c r="R62" s="11"/>
      <x:c r="S62" s="11"/>
      <x:c r="T62" s="11"/>
      <x:c r="U62" s="11"/>
      <x:c r="V62" s="11"/>
      <x:c r="W62" s="11"/>
      <x:c r="X62" s="11"/>
      <x:c r="Y62" s="11"/>
      <x:c r="Z62" s="11"/>
    </x:row>
    <x:row r="63">
      <x:c r="A63" s="11"/>
      <x:c r="B63" s="11"/>
      <x:c r="C63" s="11"/>
      <x:c r="D63" s="11"/>
      <x:c r="E63" s="11"/>
      <x:c r="F63" s="11"/>
      <x:c r="G63" s="11"/>
      <x:c r="H63" s="11"/>
      <x:c r="I63" s="11"/>
      <x:c r="J63" s="11"/>
      <x:c r="K63" s="11"/>
      <x:c r="L63" s="11"/>
      <x:c r="M63" s="11"/>
      <x:c r="N63" s="11"/>
      <x:c r="O63" s="11"/>
      <x:c r="P63" s="11"/>
      <x:c r="Q63" s="11"/>
      <x:c r="R63" s="11"/>
      <x:c r="S63" s="11"/>
      <x:c r="T63" s="11"/>
      <x:c r="U63" s="11"/>
      <x:c r="V63" s="11"/>
      <x:c r="W63" s="11"/>
      <x:c r="X63" s="11"/>
      <x:c r="Y63" s="11"/>
      <x:c r="Z63" s="11"/>
    </x:row>
    <x:row r="64">
      <x:c r="A64" s="11"/>
      <x:c r="B64" s="11"/>
      <x:c r="C64" s="11"/>
      <x:c r="D64" s="11"/>
      <x:c r="E64" s="11"/>
      <x:c r="F64" s="11"/>
      <x:c r="G64" s="11"/>
      <x:c r="H64" s="11"/>
      <x:c r="I64" s="11"/>
      <x:c r="J64" s="11"/>
      <x:c r="K64" s="11"/>
      <x:c r="L64" s="11"/>
      <x:c r="M64" s="11"/>
      <x:c r="N64" s="11"/>
      <x:c r="O64" s="11"/>
      <x:c r="P64" s="11"/>
      <x:c r="Q64" s="11"/>
      <x:c r="R64" s="11"/>
      <x:c r="S64" s="11"/>
      <x:c r="T64" s="11"/>
      <x:c r="U64" s="11"/>
      <x:c r="V64" s="11"/>
      <x:c r="W64" s="11"/>
      <x:c r="X64" s="11"/>
      <x:c r="Y64" s="11"/>
      <x:c r="Z64" s="11"/>
    </x:row>
    <x:row r="65">
      <x:c r="A65" s="11"/>
      <x:c r="B65" s="11"/>
      <x:c r="C65" s="11"/>
      <x:c r="D65" s="11"/>
      <x:c r="E65" s="11"/>
      <x:c r="F65" s="11"/>
      <x:c r="G65" s="11"/>
      <x:c r="H65" s="11"/>
      <x:c r="I65" s="11"/>
      <x:c r="J65" s="11"/>
      <x:c r="K65" s="11"/>
      <x:c r="L65" s="11"/>
      <x:c r="M65" s="11"/>
      <x:c r="N65" s="11"/>
      <x:c r="O65" s="11"/>
      <x:c r="P65" s="11"/>
      <x:c r="Q65" s="11"/>
      <x:c r="R65" s="11"/>
      <x:c r="S65" s="11"/>
      <x:c r="T65" s="11"/>
      <x:c r="U65" s="11"/>
      <x:c r="V65" s="11"/>
      <x:c r="W65" s="11"/>
      <x:c r="X65" s="11"/>
      <x:c r="Y65" s="11"/>
      <x:c r="Z65" s="11"/>
    </x:row>
    <x:row r="66">
      <x:c r="A66" s="11"/>
      <x:c r="B66" s="11"/>
      <x:c r="C66" s="11"/>
      <x:c r="D66" s="11"/>
      <x:c r="E66" s="11"/>
      <x:c r="F66" s="11"/>
      <x:c r="G66" s="11"/>
      <x:c r="H66" s="11"/>
      <x:c r="I66" s="11"/>
      <x:c r="J66" s="11"/>
      <x:c r="K66" s="11"/>
      <x:c r="L66" s="11"/>
      <x:c r="M66" s="11"/>
      <x:c r="N66" s="11"/>
      <x:c r="O66" s="11"/>
      <x:c r="P66" s="11"/>
      <x:c r="Q66" s="11"/>
      <x:c r="R66" s="11"/>
      <x:c r="S66" s="11"/>
      <x:c r="T66" s="11"/>
      <x:c r="U66" s="11"/>
      <x:c r="V66" s="11"/>
      <x:c r="W66" s="11"/>
      <x:c r="X66" s="11"/>
      <x:c r="Y66" s="11"/>
      <x:c r="Z66" s="11"/>
    </x:row>
    <x:row r="67">
      <x:c r="A67" s="11"/>
      <x:c r="B67" s="11"/>
      <x:c r="C67" s="11"/>
      <x:c r="D67" s="11"/>
      <x:c r="E67" s="11"/>
      <x:c r="F67" s="11"/>
      <x:c r="G67" s="11"/>
      <x:c r="H67" s="11"/>
      <x:c r="I67" s="11"/>
      <x:c r="J67" s="11"/>
      <x:c r="K67" s="11"/>
      <x:c r="L67" s="11"/>
      <x:c r="M67" s="11"/>
      <x:c r="N67" s="11"/>
      <x:c r="O67" s="11"/>
      <x:c r="P67" s="11"/>
      <x:c r="Q67" s="11"/>
      <x:c r="R67" s="11"/>
      <x:c r="S67" s="11"/>
      <x:c r="T67" s="11"/>
      <x:c r="U67" s="11"/>
      <x:c r="V67" s="11"/>
      <x:c r="W67" s="11"/>
      <x:c r="X67" s="11"/>
      <x:c r="Y67" s="11"/>
      <x:c r="Z67" s="11"/>
    </x:row>
    <x:row r="68">
      <x:c r="A68" s="11"/>
      <x:c r="B68" s="11"/>
      <x:c r="C68" s="11"/>
      <x:c r="D68" s="11"/>
      <x:c r="E68" s="11"/>
      <x:c r="F68" s="11"/>
      <x:c r="G68" s="11"/>
      <x:c r="H68" s="11"/>
      <x:c r="I68" s="11"/>
      <x:c r="J68" s="11"/>
      <x:c r="K68" s="11"/>
      <x:c r="L68" s="11"/>
      <x:c r="M68" s="11"/>
      <x:c r="N68" s="11"/>
      <x:c r="O68" s="11"/>
      <x:c r="P68" s="11"/>
      <x:c r="Q68" s="11"/>
      <x:c r="R68" s="11"/>
      <x:c r="S68" s="11"/>
      <x:c r="T68" s="11"/>
      <x:c r="U68" s="11"/>
      <x:c r="V68" s="11"/>
      <x:c r="W68" s="11"/>
      <x:c r="X68" s="11"/>
      <x:c r="Y68" s="11"/>
      <x:c r="Z68" s="11"/>
    </x:row>
    <x:row r="69">
      <x:c r="A69" s="11"/>
      <x:c r="B69" s="11"/>
      <x:c r="C69" s="11"/>
      <x:c r="D69" s="11"/>
      <x:c r="E69" s="11"/>
      <x:c r="F69" s="11"/>
      <x:c r="G69" s="11"/>
      <x:c r="H69" s="11"/>
      <x:c r="I69" s="11"/>
      <x:c r="J69" s="11"/>
      <x:c r="K69" s="11"/>
      <x:c r="L69" s="11"/>
      <x:c r="M69" s="11"/>
      <x:c r="N69" s="11"/>
      <x:c r="O69" s="11"/>
      <x:c r="P69" s="11"/>
      <x:c r="Q69" s="11"/>
      <x:c r="R69" s="11"/>
      <x:c r="S69" s="11"/>
      <x:c r="T69" s="11"/>
      <x:c r="U69" s="11"/>
      <x:c r="V69" s="11"/>
      <x:c r="W69" s="11"/>
      <x:c r="X69" s="11"/>
      <x:c r="Y69" s="11"/>
      <x:c r="Z69" s="11"/>
    </x:row>
    <x:row r="70">
      <x:c r="A70" s="11"/>
      <x:c r="B70" s="11"/>
      <x:c r="C70" s="11"/>
      <x:c r="D70" s="11"/>
      <x:c r="E70" s="11"/>
      <x:c r="F70" s="11"/>
      <x:c r="G70" s="11"/>
      <x:c r="H70" s="11"/>
      <x:c r="I70" s="11"/>
      <x:c r="J70" s="11"/>
      <x:c r="K70" s="11"/>
      <x:c r="L70" s="11"/>
      <x:c r="M70" s="11"/>
      <x:c r="N70" s="11"/>
      <x:c r="O70" s="11"/>
      <x:c r="P70" s="11"/>
      <x:c r="Q70" s="11"/>
      <x:c r="R70" s="11"/>
      <x:c r="S70" s="11"/>
      <x:c r="T70" s="11"/>
      <x:c r="U70" s="11"/>
      <x:c r="V70" s="11"/>
      <x:c r="W70" s="11"/>
      <x:c r="X70" s="11"/>
      <x:c r="Y70" s="11"/>
      <x:c r="Z70" s="11"/>
    </x:row>
    <x:row r="71">
      <x:c r="A71" s="11"/>
      <x:c r="B71" s="11"/>
      <x:c r="C71" s="11"/>
      <x:c r="D71" s="11"/>
      <x:c r="E71" s="11"/>
      <x:c r="F71" s="11"/>
      <x:c r="G71" s="11"/>
      <x:c r="H71" s="11"/>
      <x:c r="I71" s="11"/>
      <x:c r="J71" s="11"/>
      <x:c r="K71" s="11"/>
      <x:c r="L71" s="11"/>
      <x:c r="M71" s="11"/>
      <x:c r="N71" s="11"/>
      <x:c r="O71" s="11"/>
      <x:c r="P71" s="11"/>
      <x:c r="Q71" s="11"/>
      <x:c r="R71" s="11"/>
      <x:c r="S71" s="11"/>
      <x:c r="T71" s="11"/>
      <x:c r="U71" s="11"/>
      <x:c r="V71" s="11"/>
      <x:c r="W71" s="11"/>
      <x:c r="X71" s="11"/>
      <x:c r="Y71" s="11"/>
      <x:c r="Z71" s="11"/>
    </x:row>
    <x:row r="72">
      <x:c r="A72" s="11"/>
      <x:c r="B72" s="11"/>
      <x:c r="C72" s="11"/>
      <x:c r="D72" s="11"/>
      <x:c r="E72" s="11"/>
      <x:c r="F72" s="11"/>
      <x:c r="G72" s="11"/>
      <x:c r="H72" s="11"/>
      <x:c r="I72" s="11"/>
      <x:c r="J72" s="11"/>
      <x:c r="K72" s="11"/>
      <x:c r="L72" s="11"/>
      <x:c r="M72" s="11"/>
      <x:c r="N72" s="11"/>
      <x:c r="O72" s="11"/>
      <x:c r="P72" s="11"/>
      <x:c r="Q72" s="11"/>
      <x:c r="R72" s="11"/>
      <x:c r="S72" s="11"/>
      <x:c r="T72" s="11"/>
      <x:c r="U72" s="11"/>
      <x:c r="V72" s="11"/>
      <x:c r="W72" s="11"/>
      <x:c r="X72" s="11"/>
      <x:c r="Y72" s="11"/>
      <x:c r="Z72" s="11"/>
    </x:row>
    <x:row r="73">
      <x:c r="A73" s="11"/>
      <x:c r="B73" s="11"/>
      <x:c r="C73" s="11"/>
      <x:c r="D73" s="11"/>
      <x:c r="E73" s="11"/>
      <x:c r="F73" s="11"/>
      <x:c r="G73" s="11"/>
      <x:c r="H73" s="11"/>
      <x:c r="I73" s="11"/>
      <x:c r="J73" s="11"/>
      <x:c r="K73" s="11"/>
      <x:c r="L73" s="11"/>
      <x:c r="M73" s="11"/>
      <x:c r="N73" s="11"/>
      <x:c r="O73" s="11"/>
      <x:c r="P73" s="11"/>
      <x:c r="Q73" s="11"/>
      <x:c r="R73" s="11"/>
      <x:c r="S73" s="11"/>
      <x:c r="T73" s="11"/>
      <x:c r="U73" s="11"/>
      <x:c r="V73" s="11"/>
      <x:c r="W73" s="11"/>
      <x:c r="X73" s="11"/>
      <x:c r="Y73" s="11"/>
      <x:c r="Z73" s="11"/>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c r="Y74" s="11"/>
      <x:c r="Z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c r="Y75" s="11"/>
      <x:c r="Z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c r="Y76" s="11"/>
      <x:c r="Z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c r="Y77" s="11"/>
      <x:c r="Z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c r="Y78" s="11"/>
      <x:c r="Z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c r="Y79" s="11"/>
      <x:c r="Z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c r="Y80" s="11"/>
      <x:c r="Z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c r="Y81" s="11"/>
      <x:c r="Z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c r="Y82" s="11"/>
      <x:c r="Z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c r="Y83" s="11"/>
      <x:c r="Z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c r="Y84" s="11"/>
      <x:c r="Z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c r="Y85" s="11"/>
      <x:c r="Z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c r="Y86" s="11"/>
      <x:c r="Z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c r="Y87" s="11"/>
      <x:c r="Z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c r="Y88" s="11"/>
      <x:c r="Z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c r="Y89" s="11"/>
      <x:c r="Z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c r="Y90" s="11"/>
      <x:c r="Z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c r="Y91" s="11"/>
      <x:c r="Z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c r="Y92" s="11"/>
      <x:c r="Z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c r="Y93" s="11"/>
      <x:c r="Z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c r="Y94" s="11"/>
      <x:c r="Z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c r="Y95" s="11"/>
      <x:c r="Z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c r="Y96" s="11"/>
      <x:c r="Z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c r="Y97" s="11"/>
      <x:c r="Z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c r="Y98" s="11"/>
      <x:c r="Z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c r="Y99" s="11"/>
      <x:c r="Z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sheetData>
  <x:mergeCells>
    <x:mergeCell ref="A2:D2"/>
  </x:mergeCells>
  <x:conditionalFormatting sqref="D5:D13">
    <x:cfRule type="containsText" dxfId="2" priority="1" operator="containsText" text="Lệch"/>
  </x:conditionalFormatting>
  <x:pageMargins left="0.7" right="0.7" top="0.75" bottom="0.75" header="0.3" footer="0.3"/>
</x:worksheet>
</file>