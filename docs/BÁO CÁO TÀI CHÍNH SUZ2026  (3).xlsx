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Giả định &amp; Thông số" sheetId="1" r:id="rId5"/>
    <sheet state="visible" name="2. Báo cáo Ngân lưu" sheetId="2" r:id="rId6"/>
    <sheet state="visible" name="3. Chi phí chi tiết" sheetId="3" r:id="rId7"/>
    <sheet state="visible" name="4. Báo cáo Thu nhập" sheetId="4" r:id="rId8"/>
    <sheet state="visible" name="5. Lịch trả nợ" sheetId="5" r:id="rId9"/>
    <sheet state="visible" name="6. Đánh Giá Tài Chính" sheetId="6" r:id="rId10"/>
    <sheet state="visible" name="7. Lạm phát &amp; Khấu hao"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tc={7836aea9-1711-4c0a-844e-853ee839e2ff}</author>
    <author>tc={e3a10a86-c305-4b4d-ba08-558e4aa0ddcb}</author>
  </authors>
  <commentList>
    <comment authorId="0" xr:uid="{7836aea9-1711-4c0a-844e-853ee839e2ff}" ref="C66">
      <text>
        <t xml:space="preserve">[Threaded comment]
 Your version of Excel allows you to read this threaded comment; however, any edits to it will get removed if the file is opened in a newer version of Excel. Learn more: https://go.microsoft.com/fwlink/?linkid=870924
Comment:
	Bảng ghi hoàn vốn từ đầu năm 6, nhưng chị tính ra khoảng 3,04 năm (hoặc 2,98 năm theo bảng), tức giữa năm 3–4. Em giải thích thêm giúp chị cách tính và lý do ra mốc năm 6 được không ạ? Cnay e tính theo EPV dko á
Reply:
	@nghinguyen.31241021416@st.ueh.edu.vn
</t>
      </text>
    </comment>
    <comment authorId="1" xr:uid="{e3a10a86-c305-4b4d-ba08-558e4aa0ddcb}" ref="H3">
      <text>
        <t xml:space="preserve">[Threaded comment]
 Your version of Excel allows you to read this threaded comment; however, any edits to it will get removed if the file is opened in a newer version of Excel. Learn more: https://go.microsoft.com/fwlink/?linkid=870924
Comment:
	c thấy thời hạn dự án là 7 năm, nhưng 1 số ttin ở năm 6,7 để blank á @nghinguyen.31241021416@st.ueh.edu.vn
Đã giao cho nghinguyen.31241021416@st.ueh.edu.vn
Reply:
	dạ gốc là Tuấn làm 7 năm á chị, mà bữa thầy Hiệp kêu 7 năm mới hoàn vốn lâu quá nên tụi em chọn 5 năm là hoàn vốn á chị. Em tạo bản sao chỉnh số lại nên chưa có xóa bớt ttin cũ á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tc={0cb14300-b1c1-481a-bff5-06cb902df49f}</author>
    <author>tc={5a084617-46f4-4e2f-95c6-9d5981c084f3}</author>
  </authors>
  <commentList>
    <comment authorId="0" xr:uid="{0cb14300-b1c1-481a-bff5-06cb902df49f}" ref="C13">
      <text>
        <t xml:space="preserve">[Threaded comment]
 Your version of Excel allows you to read this threaded comment; however, any edits to it will get removed if the file is opened in a newer version of Excel. Learn more: https://go.microsoft.com/fwlink/?linkid=870924
Comment:
	(20% × 2,200 triệu) là 440 triệu đko á?@nghinguyen.31241021416@st.ueh.edu.vn
Đã giao cho nghinguyen.31241021416@st.ueh.edu.vn
Reply:
	dạ hong phải có ndung trong đó là cũ mà em chưa xóa á
</t>
      </text>
    </comment>
    <comment authorId="1" xr:uid="{5a084617-46f4-4e2f-95c6-9d5981c084f3}" ref="C13">
      <text>
        <t xml:space="preserve">[Threaded comment]
 Your version of Excel allows you to read this threaded comment; however, any edits to it will get removed if the file is opened in a newer version of Excel. Learn more: https://go.microsoft.com/fwlink/?linkid=870924
Comment:
	(20% × 2,200 triệu) là 440 triệu đko á?@nghinguyen.31241021416@st.ueh.edu.vn
Đã giao cho nghinguyen.31241021416@st.ueh.edu.vn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tc={3a56332c-403f-4d16-a13a-c7c908cfda05}</author>
  </authors>
  <commentList>
    <comment authorId="0" xr:uid="{3a56332c-403f-4d16-a13a-c7c908cfda05}" ref="D8">
      <text>
        <t xml:space="preserve">[Threaded comment]
 Your version of Excel allows you to read this threaded comment; however, any edits to it will get removed if the file is opened in a newer version of Excel. Learn more: https://go.microsoft.com/fwlink/?linkid=870924
Comment:
	Công thức nì chỉ đúng khi NPV và vốn đầu tư ban đầu được tính từ cùng một bộ dòng tiền và cùng góc nhìn.
- Nếu dùng NPV của EPV thì (Io) là vốn chủ sở hữu ban đầu.
- Nếu dùng NPV của TIPV thì (Io) phải là tổng vốn đầu tư của dự án.
Em check lại giúp chị mình đang theo góc nhìn nào nha. Chị thấy bài hiện tại nghiêng về EPV hơn vì có sử dụng Equity ban đầu và các khoản trả nợ, lãi vay.
Reply:
	@nghinguyen.31241021416@st.ueh.edu.vn
</t>
      </text>
    </comment>
  </commentList>
</comments>
</file>

<file path=xl/sharedStrings.xml><?xml version="1.0" encoding="utf-8"?>
<sst xmlns="http://schemas.openxmlformats.org/spreadsheetml/2006/main" count="594" uniqueCount="308">
  <si>
    <t>BÁO CÁO THU NHẬP  - CHAMP MẠNH CHAT  (Đơn vị: Triệu VND)</t>
  </si>
  <si>
    <t>GIẢ ĐỊNH &amp; THÔNG SỐ DỰ ÁN - CHAMP MẠNH CHAT</t>
  </si>
  <si>
    <t>BÁO CÁO NGÂN LƯU DỰ ÁN - CHAMP MẠNH CHAT  (Đơn vị: Triệu VND)</t>
  </si>
  <si>
    <t>BẢNG CHI PHÍ VẬN HÀNH CHI TIẾT - CHAMP MẠNH CHAT  (Đơn vị: Triệu VND)</t>
  </si>
  <si>
    <t>KHOẢN MỤC</t>
  </si>
  <si>
    <t>Năm 0
(Đầu tư)</t>
  </si>
  <si>
    <t>Năm 1</t>
  </si>
  <si>
    <t>Năm 2</t>
  </si>
  <si>
    <t>Năm 3</t>
  </si>
  <si>
    <t>Năm 4</t>
  </si>
  <si>
    <t>Năm 5</t>
  </si>
  <si>
    <t>Năm 6</t>
  </si>
  <si>
    <t>Năm 7</t>
  </si>
  <si>
    <t>Chỉ tiêu</t>
  </si>
  <si>
    <t>TỔNG DOANH THU</t>
  </si>
  <si>
    <t>Giá trị</t>
  </si>
  <si>
    <t>Đơn vị</t>
  </si>
  <si>
    <t>Ghi chú</t>
  </si>
  <si>
    <t>-</t>
  </si>
  <si>
    <t>A. ĐẦU TƯ BAN ĐẦU</t>
  </si>
  <si>
    <t>I. CHI PHÍ NHÂN SỰ</t>
  </si>
  <si>
    <t>Chi phí thành lập doanh nghiệp</t>
  </si>
  <si>
    <t>I. NGÂN LƯU VÀO (INFLOWS)</t>
  </si>
  <si>
    <t>Giám đốc điều hành</t>
  </si>
  <si>
    <t>1. Doanh thu phí sử dụng app (từ doanh nghiệp)</t>
  </si>
  <si>
    <t xml:space="preserve">  Phí sử dụng app</t>
  </si>
  <si>
    <t>Triệu VND</t>
  </si>
  <si>
    <t>Thực tế: đăng ký, con dấu, pháp lý 2024-2025</t>
  </si>
  <si>
    <t>Chi phí phát triển ứng dụng</t>
  </si>
  <si>
    <t>MVP mobile app + AI cơ bản + API BH/NH - outsource VN ~$70-85k; phát triển theo giai đoạn</t>
  </si>
  <si>
    <t xml:space="preserve"> </t>
  </si>
  <si>
    <t xml:space="preserve">   → Số DN đối tác</t>
  </si>
  <si>
    <t xml:space="preserve">  Hoa hồng bảo hiểm</t>
  </si>
  <si>
    <t>chi phí cho nhân sự trước khởi nghiệp</t>
  </si>
  <si>
    <t xml:space="preserve">   → Phí/DN/tháng (triệu)</t>
  </si>
  <si>
    <t xml:space="preserve">  Hoa hồng DN &amp; NH</t>
  </si>
  <si>
    <t>Chi phí ra mắt sản phẩm / triển khai</t>
  </si>
  <si>
    <t>Pilot B2B tập trung: webinar online + onboarding digital (giảm chi phí thuê hội trường)</t>
  </si>
  <si>
    <t xml:space="preserve">  → TỔNG ĐẦU TƯ BAN ĐẦU</t>
  </si>
  <si>
    <t>Cập nhật theo giả định thực tế</t>
  </si>
  <si>
    <t>2. Doanh thu hoa hồng - Bảo hiểm nông nghiệp</t>
  </si>
  <si>
    <t>B. CẤU TRÚC VỐN</t>
  </si>
  <si>
    <t>Dự kiến</t>
  </si>
  <si>
    <t>(-) Chi phí vận hành</t>
  </si>
  <si>
    <t xml:space="preserve">   → Doanh thu bán bảo hiểm</t>
  </si>
  <si>
    <t>Tỷ trọng vốn vay (D/V)</t>
  </si>
  <si>
    <t>Tỷ lệ</t>
  </si>
  <si>
    <t xml:space="preserve">   → Tỷ lệ hoa hồng BH</t>
  </si>
  <si>
    <t>Tỷ trọng vốn chủ sở hữu (E/V)</t>
  </si>
  <si>
    <t>3. Doanh thu hoa hồng - Doanh nghiệp &amp; Ngân hàng</t>
  </si>
  <si>
    <t>Vốn vay (Debt)</t>
  </si>
  <si>
    <t>Vốn chủ sở hữu (Equity)</t>
  </si>
  <si>
    <t>(-) Khấu hao tài sản</t>
  </si>
  <si>
    <t>Lãi suất vay (Rd)</t>
  </si>
  <si>
    <t>Năm</t>
  </si>
  <si>
    <t>Chi phí vốn chủ (Re)</t>
  </si>
  <si>
    <t xml:space="preserve">   → Giá trị giao dịch trả trước qua nền tảng (5%)</t>
  </si>
  <si>
    <t>Thuế TNDN (T)</t>
  </si>
  <si>
    <t>WACC</t>
  </si>
  <si>
    <t xml:space="preserve">Nhân sự IT/Kỹ thuật </t>
  </si>
  <si>
    <t>Re×E/V + Rd×(1-T)×D/V | Cập nhật theo cấu trúc vốn mới</t>
  </si>
  <si>
    <t>EBIT</t>
  </si>
  <si>
    <t>Số kỳ vay / hoàn vốn</t>
  </si>
  <si>
    <t>Thời hạn vay</t>
  </si>
  <si>
    <t>C. NHÂN SỰ &amp; LƯƠNG</t>
  </si>
  <si>
    <t>(-) Lãi vay</t>
  </si>
  <si>
    <t>N0</t>
  </si>
  <si>
    <t>N1</t>
  </si>
  <si>
    <t>N2</t>
  </si>
  <si>
    <t>N3</t>
  </si>
  <si>
    <t>N4</t>
  </si>
  <si>
    <t>N5</t>
  </si>
  <si>
    <t xml:space="preserve">   → Giá trị giao dịch trả sau qua nền tảng (6%)</t>
  </si>
  <si>
    <t>N6</t>
  </si>
  <si>
    <t>N7</t>
  </si>
  <si>
    <t>Lương cơ bản (tr/th)</t>
  </si>
  <si>
    <t>LỢI NHUẬN TRƯỚC THUẾ (EBT)</t>
  </si>
  <si>
    <t>Nhân sự IT/Kỹ thuật</t>
  </si>
  <si>
    <t>Nhân sự vận hành hệ thống</t>
  </si>
  <si>
    <t>Nhân sự Marketing</t>
  </si>
  <si>
    <t>4. Thu hồi vốn lưu động (cuối dự án - năm 7)</t>
  </si>
  <si>
    <t>Nhân sự Finance/Kế toán</t>
  </si>
  <si>
    <t>(-) Thuế TNDN (20%)</t>
  </si>
  <si>
    <t>Nhân sự chăm sóc khách hàng</t>
  </si>
  <si>
    <t>Tỷ lệ tăng lương hàng năm</t>
  </si>
  <si>
    <t>D. GIẢ ĐỊNH DOANH THU</t>
  </si>
  <si>
    <t>THU NHẬP RÒNG (NI)</t>
  </si>
  <si>
    <t>TỔNG NGÂN LƯU VÀO</t>
  </si>
  <si>
    <t>Số doanh nghiệp đối tác (N1/N2/N3/N4/N5)</t>
  </si>
  <si>
    <t>8/15/25/40/60</t>
  </si>
  <si>
    <t>DN</t>
  </si>
  <si>
    <t>Phí sử dụng app / DN / tháng</t>
  </si>
  <si>
    <t>Biên lợi nhuận ròng (%)</t>
  </si>
  <si>
    <t>Tỷ lệ hoa hồng bảo hiểm</t>
  </si>
  <si>
    <t>Hoa hồng đại lý BH nông nghiệp VN thực tế: 10-20%, dùng 15%</t>
  </si>
  <si>
    <t xml:space="preserve">Nhân sự vận hành </t>
  </si>
  <si>
    <t>Tỷ lệ giá trị giao dịch từ DN (trả trước)</t>
  </si>
  <si>
    <t>Tỷ lệ giá trị giao dịch từ DN (trả sau)</t>
  </si>
  <si>
    <t>E. GIẢ ĐỊNH VỐN LƯU ĐỘNG</t>
  </si>
  <si>
    <t>II. NGÂN LƯU RA (OUTFLOWS)</t>
  </si>
  <si>
    <t>Khoản phải thu (AR) / Doanh thu</t>
  </si>
  <si>
    <t>10% DT chưa thu được</t>
  </si>
  <si>
    <t>Khoản phải trả (AP) / Chi phí vận hành</t>
  </si>
  <si>
    <t>10% CP chưa thanh toán</t>
  </si>
  <si>
    <t>Số dư tiền mặt tối thiểu (CB) / Doanh thu</t>
  </si>
  <si>
    <t>2% DT dự phòng</t>
  </si>
  <si>
    <t>A. Chi phí đầu tư ban đầu (năm 0)</t>
  </si>
  <si>
    <t>F. TỶ LỆ CHI PHÍ HOẠT ĐỘNG / DOANH THU</t>
  </si>
  <si>
    <t>Chi phí hoạt động nền tảng</t>
  </si>
  <si>
    <t>Tỷ lệ DT</t>
  </si>
  <si>
    <t xml:space="preserve"> - server, API, cloud; tối ưu hóa cloud cost bằng contract dài hạn AWS/GCP</t>
  </si>
  <si>
    <t>Chi phí Marketing</t>
  </si>
  <si>
    <t xml:space="preserve">   → Chi phí thành lập DN</t>
  </si>
  <si>
    <t>12% DT - tập trung B2B partnership thay vì paid ads; CAC thấp hơn nhờ referral</t>
  </si>
  <si>
    <t>Chi phí R&amp;D</t>
  </si>
  <si>
    <t>10% DT - sau MVP; R&amp;D tập trung feature theo feedback khách hàng, không phát triển ồ ạt</t>
  </si>
  <si>
    <t>chi phí nhân sự trước khởi nghiệp</t>
  </si>
  <si>
    <t>Chi phí duy trì công nghệ</t>
  </si>
  <si>
    <t>% CP App</t>
  </si>
  <si>
    <t>15% CP app/năm - tối ưu từ năm 2 nhờ codebase ổn định và hợp đồng dài hạn</t>
  </si>
  <si>
    <t xml:space="preserve">   → Chi phí phát triển ứng dụng</t>
  </si>
  <si>
    <t>Chi phí quản lý &amp; hành chính (cố định)</t>
  </si>
  <si>
    <t>Triệu VND/năm</t>
  </si>
  <si>
    <t>VP thuê VN ~15-20tr/th + điện nước + VP phẩm</t>
  </si>
  <si>
    <t>Chi phí tài chính &amp; pháp lý định kỳ (cố định)</t>
  </si>
  <si>
    <t>Kiểm toán + pháp lý fintech/BH phức tạp hơn thường</t>
  </si>
  <si>
    <t xml:space="preserve">   → Chi phí vật tư, thiết bị</t>
  </si>
  <si>
    <t>G. CÁC CHỈ SỐ THAM CHIẾU BỔ SUNG</t>
  </si>
  <si>
    <t xml:space="preserve">   → Chi phí triển khai &amp; ra mắt sản phẩm</t>
  </si>
  <si>
    <t>Thời hạn dự án (năm)</t>
  </si>
  <si>
    <t>Tỷ lệ tăng trưởng DN đối tác bình quân (CAGR)</t>
  </si>
  <si>
    <t>B. Chi phí nhân sự (tăng lương 5%/năm)</t>
  </si>
  <si>
    <t xml:space="preserve">Nhân sự Marketing </t>
  </si>
  <si>
    <t>%/năm</t>
  </si>
  <si>
    <t>Tỷ suất lợi nhuận mục tiêu (ROE năm 7)</t>
  </si>
  <si>
    <t>Lần</t>
  </si>
  <si>
    <t>Chi phí thu hút khách hàng mục tiêu (CAC)</t>
  </si>
  <si>
    <t>Triệu VND/DN</t>
  </si>
  <si>
    <t>Giá trị vòng đời khách hàng (LTV)</t>
  </si>
  <si>
    <t xml:space="preserve">   → Giám đốc điều hành</t>
  </si>
  <si>
    <t>Tỷ lệ LTV/CAC</t>
  </si>
  <si>
    <t>ARR mục tiêu cuối Năm 2 (Annual Recurring Revenue)</t>
  </si>
  <si>
    <t>Giá Rio tầm 55-60k/kg</t>
  </si>
  <si>
    <t>H. GIẢ ĐỊNH GIÁ TRỊ GIAO DỊCH BAO TIÊU (GMV) QUA NỀN TẢNG</t>
  </si>
  <si>
    <t xml:space="preserve">   → Nhân sự IT/Kỹ thuật (×2)</t>
  </si>
  <si>
    <t>Doanh thu bình quân 1 vườn/DN hợp tác (GMV tiềm năng)</t>
  </si>
  <si>
    <t>"CƠ SỞ - GIỐNG RI6 (Ri6 4-5 năm cho trái ổn định): năng suất ĐBSCL ~20-25 tấn/ha × giá thu mua Ri6 đạt chuẩn xuất khẩu dao động 45.000-55.000đ/kg theo cập nhật thị trường 2026 (giá Ri6 biến động mạnh theo mùa/nguồn cung, có thời điểm xuống 42.000-48.000đ/kg khi TQ siết kiểm dịch Cadimi/vàng O, có thời điểm vọt lên 120.000-130.000đ/kg lúc khan hàng chính vụ - dùng vùng giá phổ biến, không dùng đỉnh/đáy ngắn hạn). Không dùng giá ""hàng dạt"" bị giải cứu (20-30k/kg) vì đó là phân khúc KHÔNG đạt chuẩn xuất khẩu. Không dùng giống Monthong/Musang King (giá cao hơn 82-90k/kg nhưng canh tác khó hơn, rủi ro năng suất cao hơn ở VN).
"</t>
  </si>
  <si>
    <t>Tỷ lệ GTGD trả trước qua nền tảng (% GMV/DN)</t>
  </si>
  <si>
    <t xml:space="preserve">   → Nhân sự vận hành, Marketing, Finance, CSKH</t>
  </si>
  <si>
    <t>Hệ số GTGD trả sau / trả trước</t>
  </si>
  <si>
    <t>GTGD trả sau luôn gấp 1,5 lần GTGD trả trước (giữ đúng tỷ lệ 5%/6% doanh thu hoa hồng)</t>
  </si>
  <si>
    <t>GMV LẠC QUAN - kịch bản giá phục hồi (tham chiếu, không dùng trong công thức chính)</t>
  </si>
  <si>
    <t>Tương đương mặt bằng giá đỉnh 2023-2024 (~90.000-210.000đ/kg) nếu cung-cầu cân bằng trở lại. Đã thể hiện qua kịch bản "Lạc quan/Tốt nhất" ở Sheet 6 (125%-150% DT).</t>
  </si>
  <si>
    <t>Nhân sự CSKH</t>
  </si>
  <si>
    <t>C. Chi phí duy trì công nghệ (15% CP app / năm)</t>
  </si>
  <si>
    <t>D. Chi phí hoạt động nền tảng (15% DT)</t>
  </si>
  <si>
    <t>LỊCH TRẢ NỢ  -  CHAMP MẠNH CHAT  (Đơn vị: Triệu VND)</t>
  </si>
  <si>
    <t>E. Chi phí Marketing (15% DT)</t>
  </si>
  <si>
    <t>Dư nợ đầu kỳ</t>
  </si>
  <si>
    <t>TỔNG NHÂN SỰ</t>
  </si>
  <si>
    <t>F. Chi phí Quản lý &amp; Hành chính (cố định)</t>
  </si>
  <si>
    <t>G. Chi phí Tài chính &amp; Pháp lý định kỳ</t>
  </si>
  <si>
    <t>II. CHI PHÍ CÔNG NGHỆ &amp; HẠ TẦNG</t>
  </si>
  <si>
    <t>H. Chi phí R&amp;D (12% DT)</t>
  </si>
  <si>
    <t>Lãi phát sinh (10%)</t>
  </si>
  <si>
    <t xml:space="preserve">Duy trì công nghệ </t>
  </si>
  <si>
    <t>I. Tăng vốn lưu động thuần (ΔNWC)</t>
  </si>
  <si>
    <t>Hoạt động nền tảng (server, API, IoT, data)</t>
  </si>
  <si>
    <t>Trả nợ gốc</t>
  </si>
  <si>
    <t>TỔNG THANH TOÁN</t>
  </si>
  <si>
    <t>TỔNG CÔNG NGHỆ &amp; HẠ TẦNG</t>
  </si>
  <si>
    <t xml:space="preserve">   → ΔAR (khoản phải thu tăng thêm)</t>
  </si>
  <si>
    <t>III. CHI PHÍ MARKETING &amp; R&amp;D</t>
  </si>
  <si>
    <t>Marketing (15% DT)</t>
  </si>
  <si>
    <t>J. Thuế TNDN (20% lợi nhuận chịu thuế)</t>
  </si>
  <si>
    <t>Dư nợ cuối kỳ</t>
  </si>
  <si>
    <t>R&amp;D (12% DT)</t>
  </si>
  <si>
    <t>TỔNG NGÂN LƯU RA</t>
  </si>
  <si>
    <t>III. NGÂN LƯU RÒNG TRƯỚC TÀI TRỢ (NCF - TIPV)</t>
  </si>
  <si>
    <t>TỔNG MKT &amp; R&amp;D</t>
  </si>
  <si>
    <t>Ngân lưu ròng TIPV (= Inflow − Outflow)</t>
  </si>
  <si>
    <t>Ngân lưu ròng TIPV lũy kế</t>
  </si>
  <si>
    <t>IV. CHI PHÍ CỐ ĐỊNH</t>
  </si>
  <si>
    <t>IV. TÀI TRỢ VỐN VAY &amp; LỊCH TRẢ NỢ</t>
  </si>
  <si>
    <t>Quản lý &amp; Hành chính (VP, điện, nước…)</t>
  </si>
  <si>
    <t>Giải ngân vốn vay (năm 0)</t>
  </si>
  <si>
    <t>Lãi phát sinh trong kỳ (11%/năm)</t>
  </si>
  <si>
    <t>Tài chính &amp; Pháp lý định kỳ</t>
  </si>
  <si>
    <t>TỔNG CHI PHÍ CỐ ĐỊNH</t>
  </si>
  <si>
    <t>Tổng trả nợ (gốc + lãi)</t>
  </si>
  <si>
    <t>TỔNG CHI PHÍ VẬN HÀNH</t>
  </si>
  <si>
    <t>V. NGÂN LƯU RÒNG SAU TÀI TRỢ (NCF - EPV)</t>
  </si>
  <si>
    <t>NCF_TIPV</t>
  </si>
  <si>
    <t>(+) Giải ngân vốn vay</t>
  </si>
  <si>
    <t>(−) Trả nợ (gốc + lãi)</t>
  </si>
  <si>
    <t>NCF_EPV (Ngân lưu ròng sau tài trợ)</t>
  </si>
  <si>
    <t>NCF_EPV lũy kế</t>
  </si>
  <si>
    <t>CHAMP MẠNH CHAT - ĐÁNH GIÁ HIỆU QUẢ TÀI CHÍNH DỰ ÁN</t>
  </si>
  <si>
    <t>VI. CHIẾT KHẤU NGÂN LƯU &amp; CHỈ SỐ TÀI CHÍNH</t>
  </si>
  <si>
    <t>Đơn vị: Triệu VND  |  Quan điểm: Chủ sở hữu (EPV)  |  Năm tính: 2026-2031 (5 năm)</t>
  </si>
  <si>
    <t>Hệ số chiết khấu (WACC = 14,32%)</t>
  </si>
  <si>
    <t>CHỈ TIÊU</t>
  </si>
  <si>
    <t>GIÁ TRỊ</t>
  </si>
  <si>
    <t>KẾT QUẢ / ĐÁNH GIÁ</t>
  </si>
  <si>
    <t>NHẬN XÉT CHI TIẾT</t>
  </si>
  <si>
    <t>A. CÁC CHỈ TIÊU TÀI CHÍNH CHÍNH (QUAN ĐIỂM VỐN CHỦ SỞ HỮU - EPV)</t>
  </si>
  <si>
    <t>NPV - Giá trị hiện tại thuần (Net Present Value)</t>
  </si>
  <si>
    <t>NCF_EPV đã chiết khấu</t>
  </si>
  <si>
    <t>NPV &gt; 0: Dự án tạo ra giá trị vượt trên chi phí vốn (WACC).</t>
  </si>
  <si>
    <t>IRR - Tỷ suất sinh lời nội bộ (Internal Rate of Return)</t>
  </si>
  <si>
    <t>IRR là lãi suất làm NPV = 0. Nếu IRR &gt; WACC (14.32%), dự án sinh lợi vượt chi phí vốn. IRR 36.64% &gt;&gt; WACC 14.32% → Dự án tạo ra giá trị vượt trội. Vòng đời 7 năm (2026-2034).</t>
  </si>
  <si>
    <t>KẾT QUẢ ĐÁNH GIÁ HIỆU QUẢ TÀI CHÍNH</t>
  </si>
  <si>
    <t>BD: CÔNG THỨC ĐỀ XUẤT</t>
  </si>
  <si>
    <t>NPV (Giá trị hiện tại ròng)</t>
  </si>
  <si>
    <t>IRR (Tỷ suất sinh lời nội bộ)</t>
  </si>
  <si>
    <t>MIRR - IRR điều chỉnh (Modified IRR, tái đầu tư = WACC)</t>
  </si>
  <si>
    <t>B/C (Tỷ lệ lợi ích / chi phí)</t>
  </si>
  <si>
    <t>MIRR thực tế hơn IRR vì giả định tái đầu tư dòng tiền dương ở mức WACC (không phải IRR). Phù hợp đánh giá dự án startup giai đoạn đầu thua lỗ.</t>
  </si>
  <si>
    <t>BCR - Tỷ số lợi ích / chi phí (Benefit-Cost Ratio)</t>
  </si>
  <si>
    <t>PP (Thời gian hoàn vốn)</t>
  </si>
  <si>
    <t>BCR = (NPV + Equity ban đầu) / Equity ban đầu. BCR &gt; 1 = mỗi đồng vốn thu về nhiều hơn 1 đồng (đã chiết khấu).</t>
  </si>
  <si>
    <t>EAB - Lợi ích đều quy năm (Equivalent Annual Benefit)</t>
  </si>
  <si>
    <t>WACC (Chi phí vốn bình quân)</t>
  </si>
  <si>
    <t>EAB phân bổ đều NPV thành lợi ích năm bình quân trong suốt vòng đời dự án. Giúp so sánh các dự án có thời gian khác nhau.</t>
  </si>
  <si>
    <t>PP - Thời gian hoàn vốn (Payback Period, không chiết khấu)</t>
  </si>
  <si>
    <t>DPP - Thời gian hoàn vốn chiết khấu (Discounted Payback Period)</t>
  </si>
  <si>
    <t>WACC - Chi phí vốn bình quân gia quyền</t>
  </si>
  <si>
    <t>B. PHÂN TÍCH ĐỘ NHẠY (SENSITIVITY ANALYSIS) - NPV THEO KỊCH BẢN DOANH THU</t>
  </si>
  <si>
    <t>KỊCH BẢN</t>
  </si>
  <si>
    <t>HỆ SỐ ĐIỀU CHỈNH DOANH THU</t>
  </si>
  <si>
    <t>NPV ƯỚC TÍNH (Tr.VND)</t>
  </si>
  <si>
    <t>NHẬN XÉT</t>
  </si>
  <si>
    <t>Bi quan - Tăng trưởng chậm (50% DT)</t>
  </si>
  <si>
    <t>Thị trường fintech nông nghiệp cạnh tranh cao</t>
  </si>
  <si>
    <t>Thận trọng - Dưới kỳ vọng (75% DT)</t>
  </si>
  <si>
    <t>DN onboarding chậm hơn kế hoạch, một số hợp đồng bị trì hoãn</t>
  </si>
  <si>
    <t>Cơ sở - Đúng kế hoạch (100% DT)</t>
  </si>
  <si>
    <t>Kịch bản chuẩn; hoa hồng BH &amp; NH theo giả định</t>
  </si>
  <si>
    <t>Lạc quan - Vượt kế hoạch (125% DT)</t>
  </si>
  <si>
    <t xml:space="preserve">Quan hệ đối tác tốt, mở rộng nhanh </t>
  </si>
  <si>
    <t>Tốt nhất - Bứt phá (150% DT)</t>
  </si>
  <si>
    <t>Mô hình nhân rộng mạnh, partnership ngân hàng lớn từ năm 2</t>
  </si>
  <si>
    <t>C. PHÂN TÍCH ĐỘ NHẠY - NPV THEO WACC (CHI PHÍ VỐN)</t>
  </si>
  <si>
    <t>MỨC WACC</t>
  </si>
  <si>
    <t>MÔ TẢ</t>
  </si>
  <si>
    <t>Ý NGHĨA</t>
  </si>
  <si>
    <t>Thấp - Lãi suất giảm / rủi ro thấp hơn</t>
  </si>
  <si>
    <t>Thận trọng (WACC giảm, Re=18%)</t>
  </si>
  <si>
    <t>Cơ sở (WACC hiện tại = 14,32%)</t>
  </si>
  <si>
    <t>Cao - Rủi ro tăng / lạm phát</t>
  </si>
  <si>
    <t>Rất cao - Giai đoạn khủng hoảng</t>
  </si>
  <si>
    <t>PHÂN TÍCH LẠM PHÁT &amp; KHẤU HAO - CHAMP MẠNH CHAT  (Đơn vị: Triệu VND)</t>
  </si>
  <si>
    <t>I. GIẢ ĐỊNH LẠM PHÁT (INFLATION ASSUMPTIONS)</t>
  </si>
  <si>
    <t>Năm 0</t>
  </si>
  <si>
    <t>Tỷ lệ lạm phát giả định (CPI VN)</t>
  </si>
  <si>
    <t>Tỷ lệ lạm phát nhân sự (lương)</t>
  </si>
  <si>
    <t>Tỷ lệ lạm phát chi phí vận hành</t>
  </si>
  <si>
    <t>Tỷ lệ lạm phát chi phí công nghệ</t>
  </si>
  <si>
    <t>→ Chỉ số giá tích lũy (CPI Index, Năm 0 = 1.000)</t>
  </si>
  <si>
    <t>Chỉ số giá CPI (cơ sở)</t>
  </si>
  <si>
    <t>Chỉ số lương nhân sự</t>
  </si>
  <si>
    <t>Chỉ số chi phí vận hành</t>
  </si>
  <si>
    <t>Chỉ số chi phí công nghệ</t>
  </si>
  <si>
    <t>II. DOANH THU &amp; CHI PHÍ ĐIỀU CHỈNH THEO LẠM PHÁT (Triệu VND - Giá thực tế)</t>
  </si>
  <si>
    <t>Doanh thu danh nghĩa (Nominal - giá gốc)</t>
  </si>
  <si>
    <t>Tr.VND</t>
  </si>
  <si>
    <t>Doanh thu thực tế (Real - điều chỉnh CPI)</t>
  </si>
  <si>
    <t>Tăng trưởng DT thực tế (%)</t>
  </si>
  <si>
    <t>%</t>
  </si>
  <si>
    <t>Chi phí vận hành danh nghĩa (Nominal)</t>
  </si>
  <si>
    <t>Chi phí vận hành thực tế (Real - điều chỉnh CPI)</t>
  </si>
  <si>
    <t>Lợi nhuận ròng thực tế (Real NI)</t>
  </si>
  <si>
    <t>III. LỊCH KHẤU HAO TÀI SẢN CỐ ĐỊNH (DEPRECIATION SCHEDULE)</t>
  </si>
  <si>
    <t>→ A. Thông số tài sản (Giả định khấu hao đường thẳng)</t>
  </si>
  <si>
    <t>Tài sản</t>
  </si>
  <si>
    <t>Nguyên giá
(Tr.VND)</t>
  </si>
  <si>
    <t>Thời hạn KH
(năm)</t>
  </si>
  <si>
    <t>Giá trị còn lại
(Tr.VND)</t>
  </si>
  <si>
    <t>KH/Năm
(Tr.VND)</t>
  </si>
  <si>
    <t>Chi phí phát triển ứng dụng (vốn hóa)</t>
  </si>
  <si>
    <t>Chi phí vật tư &amp; thiết bị (PC, Laptop…)</t>
  </si>
  <si>
    <t>Chi phí ra mắt &amp; triển khai sản phẩm</t>
  </si>
  <si>
    <t>TỔNG NGUYÊN GIÁ TÀI SẢN</t>
  </si>
  <si>
    <t>→ B. Lịch khấu hao theo năm (Đường thẳng - Straight Line)</t>
  </si>
  <si>
    <t>KH - Phát triển ứng dụng</t>
  </si>
  <si>
    <t>KH - Vật tư &amp; thiết bị</t>
  </si>
  <si>
    <t>KH - Ra mắt &amp; triển khai SP</t>
  </si>
  <si>
    <t>KH - Chi phí thành lập DN</t>
  </si>
  <si>
    <t>TỔNG KHẤU HAO HÀNG NĂM</t>
  </si>
  <si>
    <t>Khấu hao lũy kế</t>
  </si>
  <si>
    <t>Giá trị còn lại (Net Book Value)</t>
  </si>
  <si>
    <t>Tỷ lệ KH/Nguyên giá (%)</t>
  </si>
  <si>
    <t>IV. ẢNH HƯỞNG LẠM PHÁT &amp; KHẤU HAO LÊN LỢI NHUẬN (Triệu VND)</t>
  </si>
  <si>
    <t>EBIT (danh nghĩa, từ Báo cáo TN)</t>
  </si>
  <si>
    <t>(+) Cộng lại khấu hao (add-back)</t>
  </si>
  <si>
    <t>EBITDA (danh nghĩa)</t>
  </si>
  <si>
    <t>EBITDA thực tế (Real - điều chỉnh CPI)</t>
  </si>
  <si>
    <t>Biên EBITDA (EBITDA/DT danh nghĩa)</t>
  </si>
  <si>
    <t>Hiệu chỉnh lạm phát lên chi phí (+)</t>
  </si>
  <si>
    <t>Lợi nhuận thực tế sau điều chỉnh</t>
  </si>
  <si>
    <t>V. GHI CHÚ &amp; THAM CHIẾU</t>
  </si>
  <si>
    <t>1. Lạm phát CPI VN 4.5%/năm: dựa theo mục tiêu NHNN Việt Nam và dự báo WB/IMF 2026-2032.</t>
  </si>
  <si>
    <t>2. Lạm phát lương nhân sự 7%/năm: phản ánh thực tế thị trường IT VN, đã được tích hợp vào chi phí nhân sự từ Sheet 1.</t>
  </si>
  <si>
    <t>3. Khấu hao đường thẳng 7 năm: App 1,800Tr/7năm=257.1Tr/năm | Thiết bị 180Tr/7năm=25.7Tr/năm | Triển khai 600Tr/3năm=200Tr/năm | Thành lập 10Tr/1năm.</t>
  </si>
  <si>
    <t>4. Nguyên giá tài sản (B31:B34) liên kết từ Sheet 1 (Giả định &amp; Thông số). Thời hạn KH App &amp; Thiết bị = 7 năm (bằng vòng đời dự án).</t>
  </si>
  <si>
    <t>5. Doanh thu danh nghĩa (row 19) liên kết từ Sheet 2 "TỔNG NGÂN LƯU VÀO". Chi phí danh nghĩa (row 22) liên kết từ Sheet 3 "TỔNG CHI PHÍ VẬN HÀNH".</t>
  </si>
  <si>
    <t>6. EBIT (row 51) liên kết từ Sheet 4. EBITDA = EBIT + Cộng lại khấu hao (add-back). Khấu hao trong Sheet 4 row 8 liên kết ngược từ Sheet 7 row 43.</t>
  </si>
  <si>
    <t>7. Màu XANH DƯƠNG = giả định có thể điều chỉnh | Màu ĐEN = công thức tự tính | Màu XANH LÁ = liên kết từ sheet khác.</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</si>
</sst>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_);\(#,##0.00\);\-"/>
    <numFmt numFmtId="165" formatCode="#,##0.00;\(#,##0.00\);\-"/>
    <numFmt numFmtId="166" formatCode="0.0%"/>
    <numFmt numFmtId="167" formatCode="0.0%;\(0.0%\);\-"/>
    <numFmt numFmtId="168" formatCode="#,##0;\(#,##0\);\-"/>
    <numFmt numFmtId="169" formatCode="0.0000"/>
    <numFmt numFmtId="170" formatCode="#,##0.00&quot; Tr&quot;"/>
    <numFmt numFmtId="171" formatCode="#,##0&quot; Tr&quot;"/>
    <numFmt numFmtId="172" formatCode="0.00%;\(0.00%\);\-"/>
    <numFmt numFmtId="173" formatCode="0.000\x"/>
  </numFmts>
  <fonts count="36">
    <font>
      <sz val="11.0"/>
      <color theme="1"/>
      <name val="Calibri"/>
      <scheme val="minor"/>
    </font>
    <font>
      <b/>
      <sz val="18.0"/>
      <color rgb="FFFFFFFF"/>
      <name val="Times New Roman"/>
    </font>
    <font>
      <b/>
      <sz val="12.0"/>
      <color rgb="FFFFFFFF"/>
      <name val="Times New Roman"/>
    </font>
    <font/>
    <font>
      <b/>
      <sz val="17.0"/>
      <color rgb="FFFFFFFF"/>
      <name val="Times New Roman"/>
    </font>
    <font>
      <sz val="12.0"/>
      <color theme="1"/>
      <name val="Times New Roman"/>
    </font>
    <font>
      <b/>
      <sz val="12.0"/>
      <color rgb="FF1A5C1A"/>
      <name val="Times New Roman"/>
    </font>
    <font>
      <i/>
      <sz val="12.0"/>
      <color rgb="FF000000"/>
      <name val="Times New Roman"/>
    </font>
    <font>
      <b/>
      <color rgb="FFFFFFFF"/>
      <name val="Times New Roman"/>
    </font>
    <font>
      <sz val="12.0"/>
      <color rgb="FF000000"/>
      <name val="Times New Roman"/>
    </font>
    <font>
      <sz val="12.0"/>
      <color rgb="FF008000"/>
      <name val="Times New Roman"/>
    </font>
    <font>
      <sz val="12.0"/>
      <color rgb="FF0000FF"/>
      <name val="Times New Roman"/>
    </font>
    <font>
      <i/>
      <sz val="12.0"/>
      <color rgb="FF555555"/>
      <name val="Times New Roman"/>
    </font>
    <font>
      <b/>
      <sz val="12.0"/>
      <color rgb="FF000000"/>
      <name val="Times New Roman"/>
    </font>
    <font>
      <i/>
      <sz val="12.0"/>
      <color rgb="FF757575"/>
      <name val="Times New Roman"/>
    </font>
    <font>
      <b/>
      <sz val="12.0"/>
      <color rgb="FFB71C1C"/>
      <name val="Times New Roman"/>
    </font>
    <font>
      <sz val="12.0"/>
      <color rgb="FF006400"/>
      <name val="Times New Roman"/>
    </font>
    <font>
      <b/>
      <sz val="12.0"/>
      <color rgb="FF1A237E"/>
      <name val="Times New Roman"/>
    </font>
    <font>
      <b/>
      <sz val="12.0"/>
      <color rgb="FF4527A0"/>
      <name val="Times New Roman"/>
    </font>
    <font>
      <sz val="12.0"/>
      <color rgb="FF37474F"/>
      <name val="Times New Roman"/>
    </font>
    <font>
      <b/>
      <sz val="12.0"/>
      <color theme="1"/>
      <name val="Times New Roman"/>
    </font>
    <font>
      <u/>
      <sz val="12.0"/>
      <color rgb="FF0000FF"/>
      <name val="Times New Roman"/>
    </font>
    <font>
      <color rgb="FF000000"/>
      <name val="Times New Roman"/>
    </font>
    <font>
      <sz val="10.0"/>
      <color rgb="FF008000"/>
      <name val="Arial"/>
    </font>
    <font>
      <b/>
      <sz val="10.0"/>
      <color rgb="FF000000"/>
      <name val="Arial"/>
    </font>
    <font>
      <sz val="12.0"/>
      <color rgb="FFFFFFFF"/>
      <name val="Times New Roman"/>
    </font>
    <font>
      <color theme="1"/>
      <name val="Calibri"/>
      <scheme val="minor"/>
    </font>
    <font>
      <b/>
      <sz val="12.0"/>
      <color rgb="FF375623"/>
      <name val="Times New Roman"/>
    </font>
    <font>
      <sz val="12.0"/>
      <color rgb="FFFF0000"/>
      <name val="Times New Roman"/>
    </font>
    <font>
      <b/>
      <u/>
      <sz val="18.0"/>
      <color rgb="FF0000FF"/>
      <name val="Times New Roman"/>
    </font>
    <font>
      <sz val="12.0"/>
      <color rgb="FFFF6600"/>
      <name val="Times New Roman"/>
    </font>
    <font>
      <b/>
      <sz val="12.0"/>
      <color rgb="FFFF0000"/>
      <name val="Times New Roman"/>
    </font>
    <font>
      <i/>
      <sz val="12.0"/>
      <color rgb="FF1F4E79"/>
      <name val="Times New Roman"/>
    </font>
    <font>
      <sz val="12.0"/>
      <color rgb="FF595959"/>
      <name val="Times New Roman"/>
    </font>
    <font>
      <b/>
      <sz val="12.0"/>
      <color rgb="FF1F4E79"/>
      <name val="Times New Roman"/>
    </font>
    <font>
      <i/>
      <sz val="12.0"/>
      <color rgb="FF595959"/>
      <name val="Times New Roman"/>
    </font>
  </fonts>
  <fills count="37">
    <fill>
      <patternFill patternType="none"/>
    </fill>
    <fill>
      <patternFill patternType="lightGray"/>
    </fill>
    <fill>
      <patternFill patternType="solid">
        <fgColor rgb="FF2E7D32"/>
        <bgColor rgb="FF2E7D32"/>
      </patternFill>
    </fill>
    <fill>
      <patternFill patternType="solid">
        <fgColor rgb="FF1A5C1A"/>
        <bgColor rgb="FF1A5C1A"/>
      </patternFill>
    </fill>
    <fill>
      <patternFill patternType="solid">
        <fgColor rgb="FFC8E6C9"/>
        <bgColor rgb="FFC8E6C9"/>
      </patternFill>
    </fill>
    <fill>
      <patternFill patternType="solid">
        <fgColor rgb="FFD9E1F2"/>
        <bgColor rgb="FFD9E1F2"/>
      </patternFill>
    </fill>
    <fill>
      <patternFill patternType="solid">
        <fgColor rgb="FFF1F8E9"/>
        <bgColor rgb="FFF1F8E9"/>
      </patternFill>
    </fill>
    <fill>
      <patternFill patternType="solid">
        <fgColor rgb="FFF5F5F5"/>
        <bgColor rgb="FFF5F5F5"/>
      </patternFill>
    </fill>
    <fill>
      <patternFill patternType="solid">
        <fgColor rgb="FFFBE9E7"/>
        <bgColor rgb="FFFBE9E7"/>
      </patternFill>
    </fill>
    <fill>
      <patternFill patternType="solid">
        <fgColor rgb="FFE8EAF6"/>
        <bgColor rgb="FFE8EAF6"/>
      </patternFill>
    </fill>
    <fill>
      <patternFill patternType="solid">
        <fgColor rgb="FFBDD7EE"/>
        <bgColor rgb="FFBDD7EE"/>
      </patternFill>
    </fill>
    <fill>
      <patternFill patternType="solid">
        <fgColor rgb="FF1F4E79"/>
        <bgColor rgb="FF1F4E79"/>
      </patternFill>
    </fill>
    <fill>
      <patternFill patternType="solid">
        <fgColor rgb="FFD1C4E9"/>
        <bgColor rgb="FFD1C4E9"/>
      </patternFill>
    </fill>
    <fill>
      <patternFill patternType="solid">
        <fgColor rgb="FFC62828"/>
        <bgColor rgb="FFC62828"/>
      </patternFill>
    </fill>
    <fill>
      <patternFill patternType="solid">
        <fgColor rgb="FFD9EAD3"/>
        <bgColor rgb="FFD9EAD3"/>
      </patternFill>
    </fill>
    <fill>
      <patternFill patternType="solid">
        <fgColor rgb="FFFFCDD2"/>
        <bgColor rgb="FFFFCDD2"/>
      </patternFill>
    </fill>
    <fill>
      <patternFill patternType="solid">
        <fgColor rgb="FF37474A"/>
        <bgColor rgb="FF37474A"/>
      </patternFill>
    </fill>
    <fill>
      <patternFill patternType="solid">
        <fgColor rgb="FF4527A0"/>
        <bgColor rgb="FF4527A0"/>
      </patternFill>
    </fill>
    <fill>
      <patternFill patternType="solid">
        <fgColor rgb="FFEDE7F6"/>
        <bgColor rgb="FFEDE7F6"/>
      </patternFill>
    </fill>
    <fill>
      <patternFill patternType="solid">
        <fgColor rgb="FF1B5E20"/>
        <bgColor rgb="FF1B5E20"/>
      </patternFill>
    </fill>
    <fill>
      <patternFill patternType="solid">
        <fgColor rgb="FF1F3864"/>
        <bgColor rgb="FF1F3864"/>
      </patternFill>
    </fill>
    <fill>
      <patternFill patternType="solid">
        <fgColor rgb="FF2E75B6"/>
        <bgColor rgb="FF2E75B6"/>
      </patternFill>
    </fill>
    <fill>
      <patternFill patternType="solid">
        <fgColor rgb="FFF2F2F2"/>
        <bgColor rgb="FFF2F2F2"/>
      </patternFill>
    </fill>
    <fill>
      <patternFill patternType="solid">
        <fgColor rgb="FFE2EFDA"/>
        <bgColor rgb="FFE2EFDA"/>
      </patternFill>
    </fill>
    <fill>
      <patternFill patternType="solid">
        <fgColor rgb="FFE3F2FD"/>
        <bgColor rgb="FFE3F2FD"/>
      </patternFill>
    </fill>
    <fill>
      <patternFill patternType="solid">
        <fgColor rgb="FFFFFFFF"/>
        <bgColor rgb="FFFFFFFF"/>
      </patternFill>
    </fill>
    <fill>
      <patternFill patternType="solid">
        <fgColor rgb="FFFFFF00"/>
        <bgColor rgb="FFFFFF00"/>
      </patternFill>
    </fill>
    <fill>
      <patternFill patternType="solid">
        <fgColor rgb="FFE65100"/>
        <bgColor rgb="FFE65100"/>
      </patternFill>
    </fill>
    <fill>
      <patternFill patternType="solid">
        <fgColor rgb="FFFFF8E1"/>
        <bgColor rgb="FFFFF8E1"/>
      </patternFill>
    </fill>
    <fill>
      <patternFill patternType="solid">
        <fgColor rgb="FFF9FBE7"/>
        <bgColor rgb="FFF9FBE7"/>
      </patternFill>
    </fill>
    <fill>
      <patternFill patternType="solid">
        <fgColor rgb="FFFFDAD6"/>
        <bgColor rgb="FFFFDAD6"/>
      </patternFill>
    </fill>
    <fill>
      <patternFill patternType="solid">
        <fgColor rgb="FF375623"/>
        <bgColor rgb="FF375623"/>
      </patternFill>
    </fill>
    <fill>
      <patternFill patternType="solid">
        <fgColor rgb="FFC55A11"/>
        <bgColor rgb="FFC55A11"/>
      </patternFill>
    </fill>
    <fill>
      <patternFill patternType="solid">
        <fgColor rgb="FFDEEAF1"/>
        <bgColor rgb="FFDEEAF1"/>
      </patternFill>
    </fill>
    <fill>
      <patternFill patternType="solid">
        <fgColor rgb="FF4472C4"/>
        <bgColor rgb="FF4472C4"/>
      </patternFill>
    </fill>
    <fill>
      <patternFill patternType="solid">
        <fgColor rgb="FFEBF3FB"/>
        <bgColor rgb="FFEBF3FB"/>
      </patternFill>
    </fill>
    <fill>
      <patternFill patternType="solid">
        <fgColor rgb="FFD6E4F0"/>
        <bgColor rgb="FFD6E4F0"/>
      </patternFill>
    </fill>
  </fills>
  <borders count="23">
    <border/>
    <border>
      <left/>
      <top/>
      <bottom style="thin">
        <color rgb="FFBDBDBD"/>
      </bottom>
    </border>
    <border>
      <left style="thin">
        <color rgb="FF000000"/>
      </left>
      <top style="thin">
        <color rgb="FF000000"/>
      </top>
      <bottom style="thin">
        <color rgb="FF000000"/>
      </bottom>
    </border>
    <border>
      <top/>
      <bottom style="thin">
        <color rgb="FFBDBDBD"/>
      </bottom>
    </border>
    <border>
      <top style="thin">
        <color rgb="FF000000"/>
      </top>
      <bottom style="thin">
        <color rgb="FF000000"/>
      </bottom>
    </border>
    <border>
      <right/>
      <top/>
      <bottom style="thin">
        <color rgb="FFBDBDBD"/>
      </bottom>
    </border>
    <border>
      <right style="thin">
        <color rgb="FF000000"/>
      </right>
      <top style="thin">
        <color rgb="FF000000"/>
      </top>
      <bottom style="thin">
        <color rgb="FF000000"/>
      </bottom>
    </border>
    <border>
      <left/>
      <top/>
      <bottom/>
    </border>
    <border>
      <left style="thin">
        <color rgb="FFBDBDBD"/>
      </left>
      <right style="thin">
        <color rgb="FFBDBDBD"/>
      </right>
      <top style="thin">
        <color rgb="FFBDBDBD"/>
      </top>
      <bottom style="thin">
        <color rgb="FFBDBDBD"/>
      </bottom>
    </border>
    <border>
      <top/>
      <bottom/>
    </border>
    <border>
      <right/>
      <top/>
      <bottom/>
    </border>
    <border>
      <left style="thin">
        <color rgb="FF000000"/>
      </left>
      <right style="thin">
        <color rgb="FF000000"/>
      </right>
      <top style="thin">
        <color rgb="FF000000"/>
      </top>
      <bottom style="thin">
        <color rgb="FF000000"/>
      </bottom>
    </border>
    <border>
      <left/>
      <top style="thin">
        <color rgb="FFBDBDBD"/>
      </top>
      <bottom style="thin">
        <color rgb="FFBDBDBD"/>
      </bottom>
    </border>
    <border>
      <top style="thin">
        <color rgb="FFBDBDBD"/>
      </top>
      <bottom style="thin">
        <color rgb="FFBDBDBD"/>
      </bottom>
    </border>
    <border>
      <right/>
      <top style="thin">
        <color rgb="FFBDBDBD"/>
      </top>
      <bottom style="thin">
        <color rgb="FFBDBDBD"/>
      </bottom>
    </border>
    <border>
      <left style="thin">
        <color rgb="FF000000"/>
      </left>
      <top/>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style="thin">
        <color rgb="FF000000"/>
      </top>
      <bottom style="thin">
        <color rgb="FF000000"/>
      </bottom>
    </border>
    <border>
      <left style="thin">
        <color rgb="FFBDBDBD"/>
      </left>
      <top style="thin">
        <color rgb="FFBDBDBD"/>
      </top>
      <bottom style="thin">
        <color rgb="FFBDBDBD"/>
      </bottom>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2" fontId="4" numFmtId="0" xfId="0" applyAlignment="1" applyBorder="1" applyFill="1" applyFont="1">
      <alignment horizontal="center" shrinkToFit="0" vertical="center" wrapText="1"/>
    </xf>
    <xf borderId="0" fillId="0" fontId="5" numFmtId="0" xfId="0" applyAlignment="1" applyFont="1">
      <alignment shrinkToFit="0" wrapText="1"/>
    </xf>
    <xf borderId="8" fillId="3" fontId="2" numFmtId="0" xfId="0" applyAlignment="1" applyBorder="1" applyFill="1" applyFont="1">
      <alignment horizontal="center" shrinkToFit="0" vertical="center" wrapText="1"/>
    </xf>
    <xf borderId="0" fillId="0" fontId="5" numFmtId="0" xfId="0" applyFont="1"/>
    <xf borderId="9" fillId="0" fontId="3" numFmtId="0" xfId="0" applyBorder="1" applyFont="1"/>
    <xf borderId="10" fillId="0" fontId="3" numFmtId="0" xfId="0" applyBorder="1" applyFont="1"/>
    <xf borderId="11" fillId="2" fontId="2" numFmtId="0" xfId="0" applyAlignment="1" applyBorder="1" applyFill="1" applyFont="1">
      <alignment horizontal="center" shrinkToFit="0" vertical="center" wrapText="1"/>
    </xf>
    <xf borderId="8" fillId="4" fontId="6" numFmtId="0" xfId="0" applyAlignment="1" applyBorder="1" applyFill="1" applyFont="1">
      <alignment horizontal="left" shrinkToFit="0" vertical="center" wrapText="1"/>
    </xf>
    <xf borderId="8" fillId="4" fontId="6" numFmtId="164" xfId="0" applyAlignment="1" applyBorder="1" applyFill="1" applyFont="1" applyNumberFormat="1">
      <alignment horizontal="center" shrinkToFit="0" vertical="center" wrapText="1"/>
    </xf>
    <xf borderId="0" fillId="0" fontId="7" numFmtId="0" xfId="0" applyAlignment="1" applyFont="1">
      <alignment horizontal="center" readingOrder="0" shrinkToFit="0" vertical="center" wrapText="1"/>
    </xf>
    <xf borderId="8" fillId="3" fontId="8" numFmtId="0" xfId="0" applyAlignment="1" applyBorder="1" applyFill="1" applyFont="1">
      <alignment horizontal="center" readingOrder="0" vertical="center"/>
    </xf>
    <xf borderId="2" fillId="3" fontId="2" numFmtId="0" xfId="0" applyAlignment="1" applyBorder="1" applyFill="1" applyFont="1">
      <alignment horizontal="left" shrinkToFit="0" vertical="center" wrapText="1"/>
    </xf>
    <xf borderId="12" fillId="2" fontId="2" numFmtId="0" xfId="0" applyAlignment="1" applyBorder="1" applyFill="1" applyFont="1">
      <alignment horizontal="left" shrinkToFit="0" vertical="center" wrapText="1"/>
    </xf>
    <xf borderId="13" fillId="0" fontId="3" numFmtId="0" xfId="0" applyBorder="1" applyFont="1"/>
    <xf borderId="14" fillId="0" fontId="3" numFmtId="0" xfId="0" applyBorder="1" applyFont="1"/>
    <xf borderId="11" fillId="0" fontId="9" numFmtId="0" xfId="0" applyAlignment="1" applyBorder="1" applyFont="1">
      <alignment horizontal="left" shrinkToFit="0" vertical="center" wrapText="1"/>
    </xf>
    <xf borderId="8" fillId="5" fontId="10" numFmtId="165" xfId="0" applyAlignment="1" applyBorder="1" applyFill="1" applyFont="1" applyNumberFormat="1">
      <alignment horizontal="center" vertical="center"/>
    </xf>
    <xf borderId="8" fillId="6" fontId="9" numFmtId="0" xfId="0" applyAlignment="1" applyBorder="1" applyFill="1" applyFont="1">
      <alignment horizontal="left" readingOrder="0" shrinkToFit="0" vertical="center" wrapText="1"/>
    </xf>
    <xf borderId="8" fillId="6" fontId="9" numFmtId="0" xfId="0" applyAlignment="1" applyBorder="1" applyFill="1" applyFont="1">
      <alignment horizontal="left" shrinkToFit="0" vertical="center" wrapText="1"/>
    </xf>
    <xf borderId="8" fillId="6" fontId="11" numFmtId="164" xfId="0" applyAlignment="1" applyBorder="1" applyFill="1" applyFont="1" applyNumberFormat="1">
      <alignment horizontal="center" shrinkToFit="0" vertical="center" wrapText="1"/>
    </xf>
    <xf borderId="11" fillId="0" fontId="11" numFmtId="165" xfId="0" applyAlignment="1" applyBorder="1" applyFont="1" applyNumberFormat="1">
      <alignment horizontal="center" shrinkToFit="0" vertical="center" wrapText="1"/>
    </xf>
    <xf borderId="8" fillId="6" fontId="9" numFmtId="165" xfId="0" applyAlignment="1" applyBorder="1" applyFill="1" applyFont="1" applyNumberFormat="1">
      <alignment horizontal="center" vertical="center"/>
    </xf>
    <xf borderId="8" fillId="6" fontId="10" numFmtId="165" xfId="0" applyAlignment="1" applyBorder="1" applyFill="1" applyFont="1" applyNumberFormat="1">
      <alignment horizontal="center" vertical="center"/>
    </xf>
    <xf borderId="11" fillId="0" fontId="12" numFmtId="0" xfId="0" applyAlignment="1" applyBorder="1" applyFont="1">
      <alignment horizontal="left" shrinkToFit="0" vertical="center" wrapText="1"/>
    </xf>
    <xf borderId="11" fillId="0" fontId="11" numFmtId="165" xfId="0" applyAlignment="1" applyBorder="1" applyFont="1" applyNumberFormat="1">
      <alignment horizontal="center" readingOrder="0" shrinkToFit="0" vertical="center" wrapText="1"/>
    </xf>
    <xf borderId="0" fillId="0" fontId="5" numFmtId="0" xfId="0" applyAlignment="1" applyFont="1">
      <alignment readingOrder="0" shrinkToFit="0" wrapText="1"/>
    </xf>
    <xf borderId="8" fillId="7" fontId="9" numFmtId="0" xfId="0" applyAlignment="1" applyBorder="1" applyFill="1" applyFont="1">
      <alignment horizontal="left" shrinkToFit="0" vertical="center" wrapText="1"/>
    </xf>
    <xf borderId="8" fillId="7" fontId="11" numFmtId="164" xfId="0" applyAlignment="1" applyBorder="1" applyFill="1" applyFont="1" applyNumberFormat="1">
      <alignment horizontal="center" shrinkToFit="0" vertical="center" wrapText="1"/>
    </xf>
    <xf borderId="11" fillId="0" fontId="9" numFmtId="0" xfId="0" applyAlignment="1" applyBorder="1" applyFont="1">
      <alignment horizontal="left" readingOrder="0" shrinkToFit="0" vertical="center" wrapText="1"/>
    </xf>
    <xf borderId="8" fillId="7" fontId="11" numFmtId="165" xfId="0" applyAlignment="1" applyBorder="1" applyFill="1" applyFont="1" applyNumberFormat="1">
      <alignment horizontal="center" readingOrder="0" shrinkToFit="0" vertical="center" wrapText="1"/>
    </xf>
    <xf borderId="8" fillId="7" fontId="10" numFmtId="165" xfId="0" applyAlignment="1" applyBorder="1" applyFill="1" applyFont="1" applyNumberFormat="1">
      <alignment horizontal="center" vertical="center"/>
    </xf>
    <xf borderId="11" fillId="0" fontId="13" numFmtId="0" xfId="0" applyAlignment="1" applyBorder="1" applyFont="1">
      <alignment horizontal="left" shrinkToFit="0" vertical="center" wrapText="1"/>
    </xf>
    <xf borderId="11" fillId="0" fontId="13" numFmtId="165" xfId="0" applyAlignment="1" applyBorder="1" applyFont="1" applyNumberFormat="1">
      <alignment horizontal="center" shrinkToFit="0" vertical="center" wrapText="1"/>
    </xf>
    <xf borderId="11" fillId="0" fontId="14" numFmtId="0" xfId="0" applyAlignment="1" applyBorder="1" applyFont="1">
      <alignment horizontal="left" shrinkToFit="0" vertical="center" wrapText="1"/>
    </xf>
    <xf borderId="0" fillId="0" fontId="5" numFmtId="0" xfId="0" applyAlignment="1" applyFont="1">
      <alignment readingOrder="0"/>
    </xf>
    <xf borderId="8" fillId="8" fontId="15" numFmtId="0" xfId="0" applyAlignment="1" applyBorder="1" applyFill="1" applyFont="1">
      <alignment horizontal="left" shrinkToFit="0" vertical="center" wrapText="1"/>
    </xf>
    <xf borderId="8" fillId="7" fontId="11" numFmtId="165" xfId="0" applyAlignment="1" applyBorder="1" applyFill="1" applyFont="1" applyNumberFormat="1">
      <alignment horizontal="center" shrinkToFit="0" vertical="center" wrapText="1"/>
    </xf>
    <xf borderId="8" fillId="8" fontId="15" numFmtId="164" xfId="0" applyAlignment="1" applyBorder="1" applyFill="1" applyFont="1" applyNumberFormat="1">
      <alignment horizontal="center" shrinkToFit="0" vertical="center" wrapText="1"/>
    </xf>
    <xf borderId="11" fillId="0" fontId="11" numFmtId="166" xfId="0" applyAlignment="1" applyBorder="1" applyFont="1" applyNumberFormat="1">
      <alignment horizontal="center" shrinkToFit="0" vertical="center" wrapText="1"/>
    </xf>
    <xf borderId="8" fillId="7" fontId="10" numFmtId="167" xfId="0" applyAlignment="1" applyBorder="1" applyFill="1" applyFont="1" applyNumberFormat="1">
      <alignment horizontal="center" vertical="center"/>
    </xf>
    <xf borderId="8" fillId="8" fontId="10" numFmtId="165" xfId="0" applyAlignment="1" applyBorder="1" applyFill="1" applyFont="1" applyNumberFormat="1">
      <alignment horizontal="center" vertical="center"/>
    </xf>
    <xf borderId="8" fillId="6" fontId="11" numFmtId="165" xfId="0" applyAlignment="1" applyBorder="1" applyFill="1" applyFont="1" applyNumberFormat="1">
      <alignment horizontal="center" shrinkToFit="0" vertical="center" wrapText="1"/>
    </xf>
    <xf borderId="8" fillId="8" fontId="9" numFmtId="0" xfId="0" applyAlignment="1" applyBorder="1" applyFill="1" applyFont="1">
      <alignment horizontal="left" shrinkToFit="0" vertical="center" wrapText="1"/>
    </xf>
    <xf borderId="8" fillId="8" fontId="11" numFmtId="164" xfId="0" applyAlignment="1" applyBorder="1" applyFill="1" applyFont="1" applyNumberFormat="1">
      <alignment horizontal="center" shrinkToFit="0" vertical="center" wrapText="1"/>
    </xf>
    <xf borderId="11" fillId="0" fontId="11" numFmtId="167" xfId="0" applyAlignment="1" applyBorder="1" applyFont="1" applyNumberFormat="1">
      <alignment horizontal="center" shrinkToFit="0" vertical="center" wrapText="1"/>
    </xf>
    <xf borderId="8" fillId="8" fontId="16" numFmtId="168" xfId="0" applyAlignment="1" applyBorder="1" applyFill="1" applyFont="1" applyNumberFormat="1">
      <alignment horizontal="center" vertical="center"/>
    </xf>
    <xf borderId="8" fillId="7" fontId="9" numFmtId="0" xfId="0" applyAlignment="1" applyBorder="1" applyFill="1" applyFont="1">
      <alignment horizontal="left" readingOrder="0" shrinkToFit="0" vertical="center" wrapText="1"/>
    </xf>
    <xf borderId="8" fillId="7" fontId="11" numFmtId="164" xfId="0" applyAlignment="1" applyBorder="1" applyFill="1" applyFont="1" applyNumberFormat="1">
      <alignment horizontal="center" readingOrder="0" shrinkToFit="0" vertical="center" wrapText="1"/>
    </xf>
    <xf borderId="8" fillId="9" fontId="17" numFmtId="0" xfId="0" applyAlignment="1" applyBorder="1" applyFill="1" applyFont="1">
      <alignment horizontal="left" shrinkToFit="0" vertical="center" wrapText="1"/>
    </xf>
    <xf borderId="8" fillId="9" fontId="17" numFmtId="164" xfId="0" applyAlignment="1" applyBorder="1" applyFill="1" applyFont="1" applyNumberFormat="1">
      <alignment horizontal="center" shrinkToFit="0" vertical="center" wrapText="1"/>
    </xf>
    <xf borderId="11" fillId="0" fontId="11" numFmtId="1" xfId="0" applyAlignment="1" applyBorder="1" applyFont="1" applyNumberFormat="1">
      <alignment horizontal="center" readingOrder="0" shrinkToFit="0" vertical="center" wrapText="1"/>
    </xf>
    <xf borderId="8" fillId="10" fontId="13" numFmtId="165" xfId="0" applyAlignment="1" applyBorder="1" applyFill="1" applyFont="1" applyNumberFormat="1">
      <alignment horizontal="center" vertical="center"/>
    </xf>
    <xf borderId="15" fillId="3" fontId="2" numFmtId="0" xfId="0" applyAlignment="1" applyBorder="1" applyFill="1" applyFont="1">
      <alignment horizontal="left" shrinkToFit="0" vertical="center" wrapText="1"/>
    </xf>
    <xf borderId="11" fillId="11" fontId="2" numFmtId="0" xfId="0" applyAlignment="1" applyBorder="1" applyFill="1" applyFont="1">
      <alignment horizontal="left" shrinkToFit="0" vertical="center" wrapText="1"/>
    </xf>
    <xf borderId="11" fillId="11" fontId="2" numFmtId="0" xfId="0" applyAlignment="1" applyBorder="1" applyFill="1" applyFont="1">
      <alignment horizontal="center" shrinkToFit="0" vertical="center" wrapText="1"/>
    </xf>
    <xf borderId="11" fillId="11" fontId="2" numFmtId="0" xfId="0" applyAlignment="1" applyBorder="1" applyFill="1" applyFont="1">
      <alignment horizontal="center"/>
    </xf>
    <xf borderId="16" fillId="11" fontId="2" numFmtId="0" xfId="0" applyAlignment="1" applyBorder="1" applyFill="1" applyFont="1">
      <alignment horizontal="center"/>
    </xf>
    <xf borderId="16" fillId="11" fontId="2" numFmtId="0" xfId="0" applyAlignment="1" applyBorder="1" applyFill="1" applyFont="1">
      <alignment horizontal="center" shrinkToFit="0" vertical="center" wrapText="1"/>
    </xf>
    <xf borderId="11" fillId="0" fontId="11" numFmtId="168" xfId="0" applyAlignment="1" applyBorder="1" applyFont="1" applyNumberFormat="1">
      <alignment horizontal="center" shrinkToFit="0" vertical="center" wrapText="1"/>
    </xf>
    <xf borderId="11" fillId="0" fontId="11" numFmtId="168" xfId="0" applyAlignment="1" applyBorder="1" applyFont="1" applyNumberFormat="1">
      <alignment horizontal="center"/>
    </xf>
    <xf borderId="11" fillId="0" fontId="11" numFmtId="168" xfId="0" applyAlignment="1" applyBorder="1" applyFont="1" applyNumberFormat="1">
      <alignment horizontal="center" readingOrder="0" shrinkToFit="0" vertical="center" wrapText="1"/>
    </xf>
    <xf borderId="8" fillId="12" fontId="18" numFmtId="0" xfId="0" applyAlignment="1" applyBorder="1" applyFill="1" applyFont="1">
      <alignment horizontal="left" shrinkToFit="0" vertical="center" wrapText="1"/>
    </xf>
    <xf borderId="8" fillId="12" fontId="18" numFmtId="164" xfId="0" applyAlignment="1" applyBorder="1" applyFill="1" applyFont="1" applyNumberFormat="1">
      <alignment horizontal="center" shrinkToFit="0" vertical="center" wrapText="1"/>
    </xf>
    <xf borderId="8" fillId="6" fontId="9" numFmtId="164" xfId="0" applyAlignment="1" applyBorder="1" applyFill="1" applyFont="1" applyNumberFormat="1">
      <alignment horizontal="center" shrinkToFit="0" vertical="center" wrapText="1"/>
    </xf>
    <xf borderId="0" fillId="0" fontId="11" numFmtId="168" xfId="0" applyAlignment="1" applyFont="1" applyNumberFormat="1">
      <alignment horizontal="center" shrinkToFit="0" vertical="center" wrapText="1"/>
    </xf>
    <xf borderId="8" fillId="8" fontId="9" numFmtId="165" xfId="0" applyAlignment="1" applyBorder="1" applyFill="1" applyFont="1" applyNumberFormat="1">
      <alignment horizontal="center" vertical="center"/>
    </xf>
    <xf borderId="11" fillId="0" fontId="11" numFmtId="9" xfId="0" applyAlignment="1" applyBorder="1" applyFont="1" applyNumberFormat="1">
      <alignment horizontal="center" readingOrder="0" shrinkToFit="0" vertical="center" wrapText="1"/>
    </xf>
    <xf borderId="6" fillId="0" fontId="12" numFmtId="0" xfId="0" applyAlignment="1" applyBorder="1" applyFont="1">
      <alignment horizontal="left" shrinkToFit="0" vertical="center" wrapText="1"/>
    </xf>
    <xf borderId="8" fillId="5" fontId="13" numFmtId="165" xfId="0" applyAlignment="1" applyBorder="1" applyFill="1" applyFont="1" applyNumberFormat="1">
      <alignment horizontal="center" vertical="center"/>
    </xf>
    <xf borderId="11" fillId="0" fontId="11" numFmtId="49" xfId="0" applyAlignment="1" applyBorder="1" applyFont="1" applyNumberFormat="1">
      <alignment horizontal="center" readingOrder="0" shrinkToFit="0" vertical="center" wrapText="1"/>
    </xf>
    <xf borderId="11" fillId="0" fontId="11" numFmtId="0" xfId="0" applyAlignment="1" applyBorder="1" applyFont="1">
      <alignment horizontal="center" readingOrder="0" shrinkToFit="0" vertical="center" wrapText="1"/>
    </xf>
    <xf borderId="8" fillId="7" fontId="19" numFmtId="0" xfId="0" applyAlignment="1" applyBorder="1" applyFill="1" applyFont="1">
      <alignment horizontal="left" shrinkToFit="0" vertical="center" wrapText="1"/>
    </xf>
    <xf borderId="8" fillId="7" fontId="9" numFmtId="167" xfId="0" applyAlignment="1" applyBorder="1" applyFill="1" applyFont="1" applyNumberFormat="1">
      <alignment horizontal="center" vertical="center"/>
    </xf>
    <xf borderId="1" fillId="13" fontId="2" numFmtId="0" xfId="0" applyAlignment="1" applyBorder="1" applyFill="1" applyFont="1">
      <alignment horizontal="left" shrinkToFit="0" vertical="center" wrapText="1"/>
    </xf>
    <xf borderId="11" fillId="0" fontId="12" numFmtId="0" xfId="0" applyAlignment="1" applyBorder="1" applyFont="1">
      <alignment horizontal="left" readingOrder="0" shrinkToFit="0" vertical="center" wrapText="1"/>
    </xf>
    <xf borderId="0" fillId="0" fontId="5" numFmtId="9" xfId="0" applyAlignment="1" applyFont="1" applyNumberFormat="1">
      <alignment shrinkToFit="0" wrapText="1"/>
    </xf>
    <xf borderId="2" fillId="14" fontId="20" numFmtId="0" xfId="0" applyAlignment="1" applyBorder="1" applyFill="1" applyFont="1">
      <alignment horizontal="left" shrinkToFit="0" wrapText="1"/>
    </xf>
    <xf borderId="11" fillId="0" fontId="5" numFmtId="0" xfId="0" applyAlignment="1" applyBorder="1" applyFont="1">
      <alignment shrinkToFit="0" vertical="center" wrapText="1"/>
    </xf>
    <xf borderId="8" fillId="8" fontId="15" numFmtId="0" xfId="0" applyAlignment="1" applyBorder="1" applyFill="1" applyFont="1">
      <alignment horizontal="left" readingOrder="0" shrinkToFit="0" vertical="center" wrapText="1"/>
    </xf>
    <xf borderId="11" fillId="0" fontId="5" numFmtId="0" xfId="0" applyAlignment="1" applyBorder="1" applyFont="1">
      <alignment readingOrder="0" shrinkToFit="0" vertical="center" wrapText="1"/>
    </xf>
    <xf borderId="0" fillId="0" fontId="5" numFmtId="0" xfId="0" applyAlignment="1" applyFont="1">
      <alignment shrinkToFit="0" vertical="center" wrapText="1"/>
    </xf>
    <xf borderId="0" fillId="0" fontId="21" numFmtId="0" xfId="0" applyAlignment="1" applyFont="1">
      <alignment readingOrder="0" shrinkToFit="0" wrapText="1"/>
    </xf>
    <xf borderId="0" fillId="0" fontId="5" numFmtId="0" xfId="0" applyAlignment="1" applyFont="1">
      <alignment readingOrder="0" shrinkToFit="0" wrapText="1"/>
    </xf>
    <xf borderId="2" fillId="14" fontId="22" numFmtId="0" xfId="0" applyAlignment="1" applyBorder="1" applyFill="1" applyFont="1">
      <alignment readingOrder="0" shrinkToFit="0" vertical="bottom" wrapText="1"/>
    </xf>
    <xf borderId="0" fillId="0" fontId="22" numFmtId="0" xfId="0" applyAlignment="1" applyFont="1">
      <alignment shrinkToFit="0" vertical="bottom" wrapText="1"/>
    </xf>
    <xf borderId="11" fillId="0" fontId="22" numFmtId="0" xfId="0" applyAlignment="1" applyBorder="1" applyFont="1">
      <alignment readingOrder="0" shrinkToFit="0" vertical="bottom" wrapText="1"/>
    </xf>
    <xf borderId="11" fillId="0" fontId="22" numFmtId="0" xfId="0" applyAlignment="1" applyBorder="1" applyFont="1">
      <alignment horizontal="right" readingOrder="0" shrinkToFit="0" vertical="bottom" wrapText="1"/>
    </xf>
    <xf borderId="11" fillId="0" fontId="22" numFmtId="0" xfId="0" applyAlignment="1" applyBorder="1" applyFont="1">
      <alignment readingOrder="0" shrinkToFit="0" vertical="bottom" wrapText="0"/>
    </xf>
    <xf borderId="11" fillId="0" fontId="22" numFmtId="0" xfId="0" applyAlignment="1" applyBorder="1" applyFont="1">
      <alignment shrinkToFit="0" vertical="bottom" wrapText="1"/>
    </xf>
    <xf borderId="11" fillId="0" fontId="22" numFmtId="0" xfId="0" applyAlignment="1" applyBorder="1" applyFont="1">
      <alignment readingOrder="0" vertical="bottom"/>
    </xf>
    <xf borderId="17" fillId="0" fontId="22" numFmtId="0" xfId="0" applyAlignment="1" applyBorder="1" applyFont="1">
      <alignment readingOrder="0" shrinkToFit="0" vertical="bottom" wrapText="1"/>
    </xf>
    <xf borderId="11" fillId="0" fontId="22" numFmtId="0" xfId="0" applyAlignment="1" applyBorder="1" applyFont="1">
      <alignment horizontal="right" readingOrder="0" vertical="bottom"/>
    </xf>
    <xf borderId="18" fillId="0" fontId="3" numFmtId="0" xfId="0" applyBorder="1" applyFont="1"/>
    <xf borderId="19" fillId="0" fontId="3" numFmtId="0" xfId="0" applyBorder="1" applyFont="1"/>
    <xf borderId="0" fillId="0" fontId="7" numFmtId="0" xfId="0" applyAlignment="1" applyFont="1">
      <alignment horizontal="center"/>
    </xf>
    <xf borderId="8" fillId="7" fontId="9" numFmtId="165" xfId="0" applyAlignment="1" applyBorder="1" applyFill="1" applyFont="1" applyNumberFormat="1">
      <alignment horizontal="center" vertical="center"/>
    </xf>
    <xf borderId="1" fillId="2" fontId="2" numFmtId="0" xfId="0" applyAlignment="1" applyBorder="1" applyFill="1" applyFont="1">
      <alignment horizontal="left" shrinkToFit="0" vertical="center" wrapText="1"/>
    </xf>
    <xf borderId="8" fillId="4" fontId="13" numFmtId="0" xfId="0" applyAlignment="1" applyBorder="1" applyFill="1" applyFont="1">
      <alignment horizontal="left" shrinkToFit="0" vertical="center" wrapText="1"/>
    </xf>
    <xf borderId="8" fillId="4" fontId="13" numFmtId="164" xfId="0" applyAlignment="1" applyBorder="1" applyFill="1" applyFont="1" applyNumberFormat="1">
      <alignment horizontal="center" shrinkToFit="0" vertical="center" wrapText="1"/>
    </xf>
    <xf borderId="8" fillId="4" fontId="9" numFmtId="165" xfId="0" applyAlignment="1" applyBorder="1" applyFill="1" applyFont="1" applyNumberFormat="1">
      <alignment horizontal="center" vertical="center"/>
    </xf>
    <xf borderId="8" fillId="15" fontId="15" numFmtId="0" xfId="0" applyAlignment="1" applyBorder="1" applyFill="1" applyFont="1">
      <alignment horizontal="left" shrinkToFit="0" vertical="center" wrapText="1"/>
    </xf>
    <xf borderId="1" fillId="16" fontId="2" numFmtId="0" xfId="0" applyAlignment="1" applyBorder="1" applyFill="1" applyFont="1">
      <alignment horizontal="left" shrinkToFit="0" vertical="center" wrapText="1"/>
    </xf>
    <xf borderId="8" fillId="9" fontId="9" numFmtId="165" xfId="0" applyAlignment="1" applyBorder="1" applyFill="1" applyFont="1" applyNumberFormat="1">
      <alignment horizontal="center" vertical="center"/>
    </xf>
    <xf borderId="1" fillId="17" fontId="2" numFmtId="0" xfId="0" applyAlignment="1" applyBorder="1" applyFill="1" applyFont="1">
      <alignment horizontal="left" shrinkToFit="0" vertical="center" wrapText="1"/>
    </xf>
    <xf borderId="8" fillId="18" fontId="9" numFmtId="0" xfId="0" applyAlignment="1" applyBorder="1" applyFill="1" applyFont="1">
      <alignment horizontal="left" shrinkToFit="0" vertical="center" wrapText="1"/>
    </xf>
    <xf borderId="8" fillId="6" fontId="23" numFmtId="165" xfId="0" applyAlignment="1" applyBorder="1" applyFill="1" applyFont="1" applyNumberFormat="1">
      <alignment horizontal="right" vertical="center"/>
    </xf>
    <xf borderId="8" fillId="18" fontId="10" numFmtId="165" xfId="0" applyAlignment="1" applyBorder="1" applyFill="1" applyFont="1" applyNumberFormat="1">
      <alignment horizontal="center" vertical="center"/>
    </xf>
    <xf borderId="8" fillId="18" fontId="11" numFmtId="164" xfId="0" applyAlignment="1" applyBorder="1" applyFill="1" applyFont="1" applyNumberFormat="1">
      <alignment horizontal="center" shrinkToFit="0" vertical="center" wrapText="1"/>
    </xf>
    <xf borderId="8" fillId="7" fontId="9" numFmtId="164" xfId="0" applyAlignment="1" applyBorder="1" applyFill="1" applyFont="1" applyNumberFormat="1">
      <alignment horizontal="center" shrinkToFit="0" vertical="center" wrapText="1"/>
    </xf>
    <xf borderId="8" fillId="18" fontId="9" numFmtId="0" xfId="0" applyAlignment="1" applyBorder="1" applyFill="1" applyFont="1">
      <alignment horizontal="left" readingOrder="0" shrinkToFit="0" vertical="center" wrapText="1"/>
    </xf>
    <xf borderId="8" fillId="18" fontId="9" numFmtId="164" xfId="0" applyAlignment="1" applyBorder="1" applyFill="1" applyFont="1" applyNumberFormat="1">
      <alignment horizontal="center" shrinkToFit="0" vertical="center" wrapText="1"/>
    </xf>
    <xf borderId="8" fillId="18" fontId="9" numFmtId="165" xfId="0" applyAlignment="1" applyBorder="1" applyFill="1" applyFont="1" applyNumberFormat="1">
      <alignment horizontal="center" vertical="center"/>
    </xf>
    <xf borderId="8" fillId="5" fontId="24" numFmtId="165" xfId="0" applyAlignment="1" applyBorder="1" applyFill="1" applyFont="1" applyNumberFormat="1">
      <alignment horizontal="right" vertical="center"/>
    </xf>
    <xf borderId="8" fillId="12" fontId="13" numFmtId="0" xfId="0" applyAlignment="1" applyBorder="1" applyFill="1" applyFont="1">
      <alignment horizontal="left" shrinkToFit="0" vertical="center" wrapText="1"/>
    </xf>
    <xf borderId="0" fillId="0" fontId="5" numFmtId="0" xfId="0" applyAlignment="1" applyFont="1">
      <alignment horizontal="center"/>
    </xf>
    <xf borderId="8" fillId="12" fontId="13" numFmtId="164" xfId="0" applyAlignment="1" applyBorder="1" applyFill="1" applyFont="1" applyNumberFormat="1">
      <alignment horizontal="center" shrinkToFit="0" vertical="center" wrapText="1"/>
    </xf>
    <xf borderId="8" fillId="12" fontId="9" numFmtId="165" xfId="0" applyAlignment="1" applyBorder="1" applyFill="1" applyFont="1" applyNumberFormat="1">
      <alignment horizontal="center" vertical="center"/>
    </xf>
    <xf borderId="8" fillId="3" fontId="2" numFmtId="0" xfId="0" applyAlignment="1" applyBorder="1" applyFill="1" applyFont="1">
      <alignment horizontal="left" shrinkToFit="0" vertical="center" wrapText="1"/>
    </xf>
    <xf borderId="8" fillId="11" fontId="24" numFmtId="165" xfId="0" applyAlignment="1" applyBorder="1" applyFill="1" applyFont="1" applyNumberFormat="1">
      <alignment horizontal="right" vertical="center"/>
    </xf>
    <xf borderId="8" fillId="11" fontId="2" numFmtId="165" xfId="0" applyAlignment="1" applyBorder="1" applyFill="1" applyFont="1" applyNumberFormat="1">
      <alignment horizontal="center" vertical="center"/>
    </xf>
    <xf borderId="1" fillId="19" fontId="2" numFmtId="0" xfId="0" applyAlignment="1" applyBorder="1" applyFill="1" applyFont="1">
      <alignment horizontal="left" shrinkToFit="0" vertical="center" wrapText="1"/>
    </xf>
    <xf borderId="2" fillId="20" fontId="1" numFmtId="0" xfId="0" applyAlignment="1" applyBorder="1" applyFill="1" applyFont="1">
      <alignment horizontal="center" shrinkToFit="0" vertical="center" wrapText="1"/>
    </xf>
    <xf borderId="20" fillId="0" fontId="3" numFmtId="0" xfId="0" applyBorder="1" applyFont="1"/>
    <xf borderId="1" fillId="3" fontId="2" numFmtId="0" xfId="0" applyAlignment="1" applyBorder="1" applyFill="1" applyFont="1">
      <alignment horizontal="left" shrinkToFit="0" vertical="center" wrapText="1"/>
    </xf>
    <xf borderId="2" fillId="21" fontId="25" numFmtId="0" xfId="0" applyAlignment="1" applyBorder="1" applyFill="1" applyFont="1">
      <alignment horizontal="center" readingOrder="0" shrinkToFit="0" vertical="center" wrapText="1"/>
    </xf>
    <xf borderId="0" fillId="0" fontId="26" numFmtId="0" xfId="0" applyAlignment="1" applyFont="1">
      <alignment shrinkToFit="0" wrapText="1"/>
    </xf>
    <xf borderId="11" fillId="20" fontId="2" numFmtId="0" xfId="0" applyAlignment="1" applyBorder="1" applyFill="1" applyFont="1">
      <alignment horizontal="center" shrinkToFit="0" vertical="center" wrapText="1"/>
    </xf>
    <xf borderId="8" fillId="7" fontId="9" numFmtId="169" xfId="0" applyAlignment="1" applyBorder="1" applyFill="1" applyFont="1" applyNumberFormat="1">
      <alignment horizontal="center" vertical="center"/>
    </xf>
    <xf borderId="2" fillId="21" fontId="2" numFmtId="0" xfId="0" applyAlignment="1" applyBorder="1" applyFill="1" applyFont="1">
      <alignment horizontal="left" shrinkToFit="0" vertical="center" wrapText="1"/>
    </xf>
    <xf borderId="11" fillId="22" fontId="13" numFmtId="0" xfId="0" applyAlignment="1" applyBorder="1" applyFill="1" applyFont="1">
      <alignment horizontal="left" shrinkToFit="0" vertical="center" wrapText="1"/>
    </xf>
    <xf borderId="11" fillId="23" fontId="27" numFmtId="170" xfId="0" applyAlignment="1" applyBorder="1" applyFill="1" applyFont="1" applyNumberFormat="1">
      <alignment horizontal="center" shrinkToFit="0" vertical="center" wrapText="1"/>
    </xf>
    <xf borderId="11" fillId="23" fontId="9" numFmtId="0" xfId="0" applyAlignment="1" applyBorder="1" applyFill="1" applyFont="1">
      <alignment horizontal="center" shrinkToFit="0" vertical="center" wrapText="1"/>
    </xf>
    <xf borderId="8" fillId="24" fontId="9" numFmtId="0" xfId="0" applyAlignment="1" applyBorder="1" applyFill="1" applyFont="1">
      <alignment horizontal="left" shrinkToFit="0" vertical="center" wrapText="1"/>
    </xf>
    <xf borderId="11" fillId="25" fontId="9" numFmtId="0" xfId="0" applyAlignment="1" applyBorder="1" applyFill="1" applyFont="1">
      <alignment horizontal="left" readingOrder="0" shrinkToFit="0" vertical="center" wrapText="1"/>
    </xf>
    <xf borderId="8" fillId="24" fontId="9" numFmtId="165" xfId="0" applyAlignment="1" applyBorder="1" applyFill="1" applyFont="1" applyNumberFormat="1">
      <alignment horizontal="center" vertical="center"/>
    </xf>
    <xf borderId="11" fillId="23" fontId="27" numFmtId="10" xfId="0" applyAlignment="1" applyBorder="1" applyFill="1" applyFont="1" applyNumberFormat="1">
      <alignment horizontal="center" shrinkToFit="0" vertical="center" wrapText="1"/>
    </xf>
    <xf borderId="0" fillId="26" fontId="5" numFmtId="0" xfId="0" applyFill="1" applyFont="1"/>
    <xf borderId="7" fillId="27" fontId="2" numFmtId="0" xfId="0" applyAlignment="1" applyBorder="1" applyFill="1" applyFont="1">
      <alignment horizontal="left" shrinkToFit="0" vertical="center" wrapText="1"/>
    </xf>
    <xf borderId="8" fillId="28" fontId="20" numFmtId="0" xfId="0" applyAlignment="1" applyBorder="1" applyFill="1" applyFont="1">
      <alignment horizontal="left" shrinkToFit="0" vertical="center" wrapText="1"/>
    </xf>
    <xf borderId="8" fillId="26" fontId="13" numFmtId="165" xfId="0" applyAlignment="1" applyBorder="1" applyFill="1" applyFont="1" applyNumberFormat="1">
      <alignment horizontal="center" shrinkToFit="0" vertical="center" wrapText="1"/>
    </xf>
    <xf borderId="21" fillId="29" fontId="28" numFmtId="0" xfId="0" applyAlignment="1" applyBorder="1" applyFill="1" applyFont="1">
      <alignment horizontal="left" shrinkToFit="0" vertical="center" wrapText="1"/>
    </xf>
    <xf borderId="0" fillId="0" fontId="29" numFmtId="0" xfId="0" applyAlignment="1" applyFont="1">
      <alignment readingOrder="0"/>
    </xf>
    <xf borderId="8" fillId="26" fontId="13" numFmtId="167" xfId="0" applyAlignment="1" applyBorder="1" applyFill="1" applyFont="1" applyNumberFormat="1">
      <alignment horizontal="center" vertical="center"/>
    </xf>
    <xf borderId="21" fillId="29" fontId="30" numFmtId="0" xfId="0" applyAlignment="1" applyBorder="1" applyFill="1" applyFont="1">
      <alignment horizontal="left" shrinkToFit="0" vertical="center" wrapText="1"/>
    </xf>
    <xf borderId="8" fillId="26" fontId="31" numFmtId="2" xfId="0" applyAlignment="1" applyBorder="1" applyFill="1" applyFont="1" applyNumberFormat="1">
      <alignment horizontal="center" shrinkToFit="0" vertical="center" wrapText="1"/>
    </xf>
    <xf borderId="11" fillId="25" fontId="9" numFmtId="0" xfId="0" applyAlignment="1" applyBorder="1" applyFill="1" applyFont="1">
      <alignment horizontal="left" shrinkToFit="0" vertical="center" wrapText="1"/>
    </xf>
    <xf borderId="21" fillId="29" fontId="30" numFmtId="0" xfId="0" applyAlignment="1" applyBorder="1" applyFill="1" applyFont="1">
      <alignment horizontal="left" readingOrder="0" shrinkToFit="0" vertical="center" wrapText="1"/>
    </xf>
    <xf borderId="11" fillId="23" fontId="27" numFmtId="2" xfId="0" applyAlignment="1" applyBorder="1" applyFill="1" applyFont="1" applyNumberFormat="1">
      <alignment horizontal="center" shrinkToFit="0" vertical="center" wrapText="1"/>
    </xf>
    <xf borderId="8" fillId="26" fontId="31" numFmtId="0" xfId="0" applyAlignment="1" applyBorder="1" applyFill="1" applyFont="1">
      <alignment horizontal="center" shrinkToFit="0" vertical="center" wrapText="1"/>
    </xf>
    <xf borderId="8" fillId="26" fontId="10" numFmtId="167" xfId="0" applyAlignment="1" applyBorder="1" applyFill="1" applyFont="1" applyNumberFormat="1">
      <alignment horizontal="center" shrinkToFit="0" vertical="center" wrapText="1"/>
    </xf>
    <xf borderId="21" fillId="29" fontId="11" numFmtId="0" xfId="0" applyAlignment="1" applyBorder="1" applyFill="1" applyFont="1">
      <alignment horizontal="left" readingOrder="0" shrinkToFit="0" vertical="center" wrapText="1"/>
    </xf>
    <xf borderId="11" fillId="23" fontId="27" numFmtId="0" xfId="0" applyAlignment="1" applyBorder="1" applyFill="1" applyFont="1">
      <alignment horizontal="center" shrinkToFit="0" vertical="center" wrapText="1"/>
    </xf>
    <xf borderId="11" fillId="30" fontId="9" numFmtId="0" xfId="0" applyAlignment="1" applyBorder="1" applyFill="1" applyFont="1">
      <alignment horizontal="center" shrinkToFit="0" vertical="center" wrapText="1"/>
    </xf>
    <xf borderId="16" fillId="25" fontId="9" numFmtId="0" xfId="0" applyAlignment="1" applyBorder="1" applyFill="1" applyFont="1">
      <alignment horizontal="left" shrinkToFit="0" vertical="center" wrapText="1"/>
    </xf>
    <xf borderId="2" fillId="31" fontId="1" numFmtId="0" xfId="0" applyAlignment="1" applyBorder="1" applyFill="1" applyFont="1">
      <alignment horizontal="left" shrinkToFit="0" vertical="center" wrapText="1"/>
    </xf>
    <xf borderId="11" fillId="31" fontId="2" numFmtId="0" xfId="0" applyAlignment="1" applyBorder="1" applyFill="1" applyFont="1">
      <alignment horizontal="center" shrinkToFit="0" vertical="center" wrapText="1"/>
    </xf>
    <xf borderId="11" fillId="0" fontId="5" numFmtId="170" xfId="0" applyAlignment="1" applyBorder="1" applyFont="1" applyNumberFormat="1">
      <alignment horizontal="center" shrinkToFit="0" vertical="center" wrapText="1"/>
    </xf>
    <xf borderId="11" fillId="0" fontId="5" numFmtId="171" xfId="0" applyAlignment="1" applyBorder="1" applyFont="1" applyNumberFormat="1">
      <alignment horizontal="center" shrinkToFit="0" vertical="center" wrapText="1"/>
    </xf>
    <xf borderId="11" fillId="25" fontId="9" numFmtId="171" xfId="0" applyAlignment="1" applyBorder="1" applyFill="1" applyFont="1" applyNumberFormat="1">
      <alignment horizontal="center" shrinkToFit="0" vertical="center" wrapText="1"/>
    </xf>
    <xf borderId="11" fillId="23" fontId="13" numFmtId="0" xfId="0" applyAlignment="1" applyBorder="1" applyFill="1" applyFont="1">
      <alignment horizontal="left" shrinkToFit="0" vertical="center" wrapText="1"/>
    </xf>
    <xf borderId="11" fillId="23" fontId="20" numFmtId="170" xfId="0" applyAlignment="1" applyBorder="1" applyFill="1" applyFont="1" applyNumberFormat="1">
      <alignment horizontal="center" shrinkToFit="0" vertical="center" wrapText="1"/>
    </xf>
    <xf borderId="11" fillId="23" fontId="20" numFmtId="171" xfId="0" applyAlignment="1" applyBorder="1" applyFill="1" applyFont="1" applyNumberFormat="1">
      <alignment horizontal="center" shrinkToFit="0" vertical="center" wrapText="1"/>
    </xf>
    <xf borderId="11" fillId="23" fontId="13" numFmtId="0" xfId="0" applyAlignment="1" applyBorder="1" applyFill="1" applyFont="1">
      <alignment horizontal="left" readingOrder="0" shrinkToFit="0" vertical="center" wrapText="1"/>
    </xf>
    <xf borderId="0" fillId="25" fontId="5" numFmtId="0" xfId="0" applyFill="1" applyFont="1"/>
    <xf borderId="2" fillId="32" fontId="1" numFmtId="0" xfId="0" applyAlignment="1" applyBorder="1" applyFill="1" applyFont="1">
      <alignment horizontal="left" shrinkToFit="0" vertical="center" wrapText="1"/>
    </xf>
    <xf borderId="11" fillId="32" fontId="2" numFmtId="0" xfId="0" applyAlignment="1" applyBorder="1" applyFill="1" applyFont="1">
      <alignment horizontal="center" shrinkToFit="0" vertical="center" wrapText="1"/>
    </xf>
    <xf borderId="11" fillId="25" fontId="9" numFmtId="10" xfId="0" applyAlignment="1" applyBorder="1" applyFill="1" applyFont="1" applyNumberFormat="1">
      <alignment horizontal="center" shrinkToFit="0" vertical="center" wrapText="1"/>
    </xf>
    <xf borderId="11" fillId="23" fontId="13" numFmtId="10" xfId="0" applyAlignment="1" applyBorder="1" applyFill="1" applyFont="1" applyNumberFormat="1">
      <alignment horizontal="center" readingOrder="0" shrinkToFit="0" vertical="center" wrapText="1"/>
    </xf>
    <xf borderId="11" fillId="23" fontId="9" numFmtId="0" xfId="0" applyAlignment="1" applyBorder="1" applyFill="1" applyFont="1">
      <alignment horizontal="left" readingOrder="0" shrinkToFit="0" vertical="center" wrapText="1"/>
    </xf>
    <xf borderId="11" fillId="23" fontId="27" numFmtId="171" xfId="0" applyAlignment="1" applyBorder="1" applyFill="1" applyFont="1" applyNumberFormat="1">
      <alignment horizontal="center" shrinkToFit="0" vertical="center" wrapText="1"/>
    </xf>
    <xf borderId="11" fillId="23" fontId="9" numFmtId="0" xfId="0" applyAlignment="1" applyBorder="1" applyFill="1" applyFont="1">
      <alignment horizontal="left" shrinkToFit="0" vertical="center" wrapText="1"/>
    </xf>
    <xf borderId="7" fillId="11" fontId="2" numFmtId="0" xfId="0" applyAlignment="1" applyBorder="1" applyFill="1" applyFont="1">
      <alignment horizontal="center" vertical="center"/>
    </xf>
    <xf borderId="0" fillId="0" fontId="5" numFmtId="0" xfId="0" applyFont="1"/>
    <xf borderId="7" fillId="33" fontId="32" numFmtId="0" xfId="0" applyAlignment="1" applyBorder="1" applyFill="1" applyFont="1">
      <alignment horizontal="center" vertical="center"/>
    </xf>
    <xf borderId="7" fillId="21" fontId="2" numFmtId="0" xfId="0" applyAlignment="1" applyBorder="1" applyFill="1" applyFont="1">
      <alignment horizontal="left" shrinkToFit="0" vertical="center" wrapText="1"/>
    </xf>
    <xf borderId="22" fillId="34" fontId="2" numFmtId="0" xfId="0" applyAlignment="1" applyBorder="1" applyFill="1" applyFont="1">
      <alignment horizontal="center" vertical="center"/>
    </xf>
    <xf borderId="22" fillId="25" fontId="11" numFmtId="0" xfId="0" applyAlignment="1" applyBorder="1" applyFill="1" applyFont="1">
      <alignment horizontal="left" shrinkToFit="0" vertical="center" wrapText="1"/>
    </xf>
    <xf borderId="22" fillId="25" fontId="11" numFmtId="0" xfId="0" applyAlignment="1" applyBorder="1" applyFill="1" applyFont="1">
      <alignment horizontal="center" vertical="center"/>
    </xf>
    <xf borderId="22" fillId="25" fontId="33" numFmtId="0" xfId="0" applyAlignment="1" applyBorder="1" applyFill="1" applyFont="1">
      <alignment horizontal="center" vertical="center"/>
    </xf>
    <xf borderId="22" fillId="25" fontId="11" numFmtId="172" xfId="0" applyAlignment="1" applyBorder="1" applyFill="1" applyFont="1" applyNumberFormat="1">
      <alignment horizontal="center" vertical="center"/>
    </xf>
    <xf borderId="22" fillId="35" fontId="11" numFmtId="0" xfId="0" applyAlignment="1" applyBorder="1" applyFill="1" applyFont="1">
      <alignment horizontal="left" shrinkToFit="0" vertical="center" wrapText="1"/>
    </xf>
    <xf borderId="22" fillId="35" fontId="11" numFmtId="0" xfId="0" applyAlignment="1" applyBorder="1" applyFill="1" applyFont="1">
      <alignment horizontal="center" vertical="center"/>
    </xf>
    <xf borderId="22" fillId="35" fontId="33" numFmtId="0" xfId="0" applyAlignment="1" applyBorder="1" applyFill="1" applyFont="1">
      <alignment horizontal="center" vertical="center"/>
    </xf>
    <xf borderId="22" fillId="35" fontId="11" numFmtId="172" xfId="0" applyAlignment="1" applyBorder="1" applyFill="1" applyFont="1" applyNumberFormat="1">
      <alignment horizontal="center" vertical="center"/>
    </xf>
    <xf borderId="7" fillId="36" fontId="34" numFmtId="0" xfId="0" applyAlignment="1" applyBorder="1" applyFill="1" applyFont="1">
      <alignment horizontal="left" shrinkToFit="0" vertical="center" wrapText="1"/>
    </xf>
    <xf borderId="22" fillId="35" fontId="9" numFmtId="0" xfId="0" applyAlignment="1" applyBorder="1" applyFill="1" applyFont="1">
      <alignment horizontal="left" shrinkToFit="0" vertical="center" wrapText="1"/>
    </xf>
    <xf borderId="22" fillId="35" fontId="9" numFmtId="0" xfId="0" applyAlignment="1" applyBorder="1" applyFill="1" applyFont="1">
      <alignment horizontal="center" vertical="center"/>
    </xf>
    <xf borderId="22" fillId="35" fontId="11" numFmtId="173" xfId="0" applyAlignment="1" applyBorder="1" applyFill="1" applyFont="1" applyNumberFormat="1">
      <alignment horizontal="center" vertical="center"/>
    </xf>
    <xf borderId="22" fillId="35" fontId="9" numFmtId="173" xfId="0" applyAlignment="1" applyBorder="1" applyFill="1" applyFont="1" applyNumberFormat="1">
      <alignment horizontal="center" vertical="center"/>
    </xf>
    <xf borderId="22" fillId="25" fontId="9" numFmtId="0" xfId="0" applyAlignment="1" applyBorder="1" applyFill="1" applyFont="1">
      <alignment horizontal="left" shrinkToFit="0" vertical="center" wrapText="1"/>
    </xf>
    <xf borderId="22" fillId="25" fontId="9" numFmtId="0" xfId="0" applyAlignment="1" applyBorder="1" applyFill="1" applyFont="1">
      <alignment horizontal="center" vertical="center"/>
    </xf>
    <xf borderId="22" fillId="25" fontId="11" numFmtId="173" xfId="0" applyAlignment="1" applyBorder="1" applyFill="1" applyFont="1" applyNumberFormat="1">
      <alignment horizontal="center" vertical="center"/>
    </xf>
    <xf borderId="22" fillId="25" fontId="9" numFmtId="173" xfId="0" applyAlignment="1" applyBorder="1" applyFill="1" applyFont="1" applyNumberFormat="1">
      <alignment horizontal="center" vertical="center"/>
    </xf>
    <xf borderId="22" fillId="35" fontId="33" numFmtId="168" xfId="0" applyAlignment="1" applyBorder="1" applyFill="1" applyFont="1" applyNumberFormat="1">
      <alignment horizontal="center" vertical="center"/>
    </xf>
    <xf borderId="22" fillId="35" fontId="16" numFmtId="168" xfId="0" applyAlignment="1" applyBorder="1" applyFill="1" applyFont="1" applyNumberFormat="1">
      <alignment horizontal="center" vertical="center"/>
    </xf>
    <xf borderId="22" fillId="25" fontId="9" numFmtId="168" xfId="0" applyAlignment="1" applyBorder="1" applyFill="1" applyFont="1" applyNumberFormat="1">
      <alignment horizontal="center" vertical="center"/>
    </xf>
    <xf borderId="22" fillId="35" fontId="9" numFmtId="167" xfId="0" applyAlignment="1" applyBorder="1" applyFill="1" applyFont="1" applyNumberFormat="1">
      <alignment horizontal="center" vertical="center"/>
    </xf>
    <xf borderId="22" fillId="25" fontId="33" numFmtId="168" xfId="0" applyAlignment="1" applyBorder="1" applyFill="1" applyFont="1" applyNumberFormat="1">
      <alignment horizontal="center" vertical="center"/>
    </xf>
    <xf borderId="22" fillId="35" fontId="9" numFmtId="168" xfId="0" applyAlignment="1" applyBorder="1" applyFill="1" applyFont="1" applyNumberFormat="1">
      <alignment horizontal="center" vertical="center"/>
    </xf>
    <xf borderId="22" fillId="10" fontId="20" numFmtId="0" xfId="0" applyAlignment="1" applyBorder="1" applyFill="1" applyFont="1">
      <alignment horizontal="left" shrinkToFit="0" vertical="center" wrapText="1"/>
    </xf>
    <xf borderId="22" fillId="10" fontId="20" numFmtId="0" xfId="0" applyAlignment="1" applyBorder="1" applyFill="1" applyFont="1">
      <alignment horizontal="center" vertical="center"/>
    </xf>
    <xf borderId="22" fillId="10" fontId="9" numFmtId="168" xfId="0" applyAlignment="1" applyBorder="1" applyFill="1" applyFont="1" applyNumberFormat="1">
      <alignment horizontal="center" vertical="center"/>
    </xf>
    <xf borderId="22" fillId="34" fontId="2" numFmtId="0" xfId="0" applyAlignment="1" applyBorder="1" applyFill="1" applyFont="1">
      <alignment horizontal="center" shrinkToFit="0" vertical="center" wrapText="1"/>
    </xf>
    <xf borderId="22" fillId="34" fontId="5" numFmtId="0" xfId="0" applyBorder="1" applyFill="1" applyFont="1"/>
    <xf borderId="22" fillId="35" fontId="11" numFmtId="1" xfId="0" applyAlignment="1" applyBorder="1" applyFill="1" applyFont="1" applyNumberFormat="1">
      <alignment horizontal="center" readingOrder="0" vertical="center"/>
    </xf>
    <xf borderId="22" fillId="35" fontId="11" numFmtId="168" xfId="0" applyAlignment="1" applyBorder="1" applyFill="1" applyFont="1" applyNumberFormat="1">
      <alignment horizontal="center" vertical="center"/>
    </xf>
    <xf borderId="22" fillId="35" fontId="5" numFmtId="0" xfId="0" applyBorder="1" applyFill="1" applyFont="1"/>
    <xf borderId="22" fillId="25" fontId="16" numFmtId="168" xfId="0" applyAlignment="1" applyBorder="1" applyFill="1" applyFont="1" applyNumberFormat="1">
      <alignment horizontal="center" vertical="center"/>
    </xf>
    <xf borderId="22" fillId="25" fontId="11" numFmtId="1" xfId="0" applyAlignment="1" applyBorder="1" applyFill="1" applyFont="1" applyNumberFormat="1">
      <alignment horizontal="center" vertical="center"/>
    </xf>
    <xf borderId="22" fillId="25" fontId="11" numFmtId="168" xfId="0" applyAlignment="1" applyBorder="1" applyFill="1" applyFont="1" applyNumberFormat="1">
      <alignment horizontal="center" vertical="center"/>
    </xf>
    <xf borderId="22" fillId="25" fontId="5" numFmtId="0" xfId="0" applyBorder="1" applyFill="1" applyFont="1"/>
    <xf borderId="22" fillId="10" fontId="20" numFmtId="168" xfId="0" applyAlignment="1" applyBorder="1" applyFill="1" applyFont="1" applyNumberFormat="1">
      <alignment horizontal="center" vertical="center"/>
    </xf>
    <xf borderId="22" fillId="10" fontId="5" numFmtId="0" xfId="0" applyBorder="1" applyFill="1" applyFont="1"/>
    <xf borderId="7" fillId="22" fontId="35" numFmtId="0" xfId="0" applyAlignment="1" applyBorder="1" applyFill="1" applyFont="1">
      <alignment horizontal="left" shrinkToFit="0" vertical="center" wrapText="1"/>
    </xf>
    <xf borderId="16" fillId="22" fontId="35"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132a7f5-f85a-4bd6-b629-83f1c94f25dd}">
    <Anchor>
      <Comment id="{e3a10a86-c305-4b4d-ba08-558e4aa0ddcb}"/>
    </Anchor>
    <History>
      <Event time="2026-09-14T05:30:56.00" id="{7df541eb-b6ec-47bd-b5db-6f796e2831b6}">
        <Attribution userId="placeholder@email.com" userName="Thị Bạch Dương Lương" userProvider="google-sheets"/>
        <Anchor>
          <Comment id="{e3a10a86-c305-4b4d-ba08-558e4aa0ddcb}"/>
        </Anchor>
        <Create/>
      </Event>
      <Event time="2026-09-14T05:30:56.00" id="{3b6cf132-bde2-400b-aa45-63f8851a593b}">
        <Attribution userId="placeholder@email.com" userName="Thị Bạch Dương Lương" userProvider="google-sheets"/>
        <Anchor>
          <Comment id="{e3a10a86-c305-4b4d-ba08-558e4aa0ddcb}"/>
        </Anchor>
        <Assign userId="nghinguyen.31241021416@st.ueh.edu.vn" userName="nghinguyen.31241021416@st.ueh.edu.vn" userProvider="google-sheets"/>
      </Event>
    </History>
  </Task>
</Tasks>
</file>

<file path=xl/documenttasks/documenttask2.xml><?xml version="1.0" encoding="utf-8"?>
<Tasks xmlns="http://schemas.microsoft.com/office/tasks/2019/documenttasks">
  <Task id="{63cd3455-5199-4cd6-ac0b-5ca4cf06698c}">
    <Anchor>
      <Comment id="{5a084617-46f4-4e2f-95c6-9d5981c084f3}"/>
    </Anchor>
    <History>
      <Event time="2026-09-14T05:32:41.00" id="{bb6831c4-3429-4a47-bc97-cf41bb23e267}">
        <Attribution userId="placeholder@email.com" userName="Thị Bạch Dương Lương" userProvider="google-sheets"/>
        <Anchor>
          <Comment id="{5a084617-46f4-4e2f-95c6-9d5981c084f3}"/>
        </Anchor>
        <Create/>
      </Event>
      <Event time="2026-09-14T05:32:41.00" id="{27c6998d-34ec-4624-a131-44351083b415}">
        <Attribution userId="placeholder@email.com" userName="Thị Bạch Dương Lương" userProvider="google-sheets"/>
        <Anchor>
          <Comment id="{5a084617-46f4-4e2f-95c6-9d5981c084f3}"/>
        </Anchor>
        <Assign userId="nghinguyen.31241021416@st.ueh.edu.vn" userName="nghinguyen.31241021416@st.ueh.edu.vn" userProvider="google-sheets"/>
      </Event>
    </History>
  </Task>
  <Task id="{7dced447-7885-4753-80e3-47bc0f0c3de4}">
    <Anchor>
      <Comment id="{0cb14300-b1c1-481a-bff5-06cb902df49f}"/>
    </Anchor>
    <History>
      <Event time="2026-09-14T05:32:56.00" id="{7e432154-e2d7-483d-92c2-15144df563d5}">
        <Attribution userId="placeholder@email.com" userName="Thị Bạch Dương Lương" userProvider="google-sheets"/>
        <Anchor>
          <Comment id="{0cb14300-b1c1-481a-bff5-06cb902df49f}"/>
        </Anchor>
        <Create/>
      </Event>
      <Event time="2026-09-14T05:32:56.00" id="{155dd222-9893-47cc-bc16-72372e04e687}">
        <Attribution userId="placeholder@email.com" userName="Thị Bạch Dương Lương" userProvider="google-sheets"/>
        <Anchor>
          <Comment id="{0cb14300-b1c1-481a-bff5-06cb902df49f}"/>
        </Anchor>
        <Assign userId="nghinguyen.31241021416@st.ueh.edu.vn" userName="nghinguyen.31241021416@st.ueh.edu.vn" userProvider="google-sheets"/>
      </Event>
    </History>
  </Task>
</Tasks>
</file>

<file path=xl/documenttasks/documenttask3.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xdr:colOff>
      <xdr:row>6</xdr:row>
      <xdr:rowOff>85725</xdr:rowOff>
    </xdr:from>
    <xdr:ext cx="4419600" cy="12573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GHI NGUYỄN NGỌC ĐƯỜNG" id="{4784c4b8-6227-43f7-ae59-535ff6a8022c}" providerId="google-sheets"/>
  <x18tc:person displayName="nghinguyen.31241021416@st.ueh.edu.vn" id="{d570b572-2029-44c7-bf39-bf01655f0da2}" userId="nghinguyen.31241021416@st.ueh.edu.vn" providerId="google-sheets"/>
  <x18tc:person displayName="Thị Bạch Dương Lương" id="{d5dd7048-4e76-494e-a1de-87d08ff7b69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6-09-14T05:30:56.00" personId="{d5dd7048-4e76-494e-a1de-87d08ff7b69f}" id="{e3a10a86-c305-4b4d-ba08-558e4aa0ddcb}" done="0">
    <x18tc:text xml:space="preserve">c thấy thời hạn dự án là 7 năm, nhưng 1 số ttin ở năm 6,7 để blank á @nghinguyen.31241021416@st.ueh.edu.vn
Đã giao cho nghinguyen.31241021416@st.ueh.edu.vn</x18tc:text>
    <x18tc:mentions>
      <x18tc:mention mentionpersonId="{d570b572-2029-44c7-bf39-bf01655f0da2}" mentionId="{16e51058-7379-42ae-b4e0-1e65e063fd75}" startIndex="69" length="37"/>
    </x18tc:mentions>
  </x18tc:threadedComment>
  <x18tc:threadedComment ref="H3" dT="2026-09-14T06:42:29.00" personId="{4784c4b8-6227-43f7-ae59-535ff6a8022c}" id="{bf5599dc-2148-4b55-88e3-b9c617ddc057}" parentId="{e3a10a86-c305-4b4d-ba08-558e4aa0ddcb}">
    <x18tc:text xml:space="preserve">dạ gốc là Tuấn làm 7 năm á chị, mà bữa thầy Hiệp kêu 7 năm mới hoàn vốn lâu quá nên tụi em chọn 5 năm là hoàn vốn á chị. Em tạo bản sao chỉnh số lại nên chưa có xóa bớt ttin cũ á</x18tc:text>
  </x18tc:threadedComment>
  <x18tc:threadedComment ref="C66" dT="2026-09-14T05:24:52.00" personId="{d5dd7048-4e76-494e-a1de-87d08ff7b69f}" id="{7836aea9-1711-4c0a-844e-853ee839e2ff}" done="0">
    <x18tc:text xml:space="preserve">Bảng ghi hoàn vốn từ đầu năm 6, nhưng chị tính ra khoảng 3,04 năm (hoặc 2,98 năm theo bảng), tức giữa năm 3–4. Em giải thích thêm giúp chị cách tính và lý do ra mốc năm 6 được không ạ? Cnay e tính theo EPV dko á</x18tc:text>
  </x18tc:threadedComment>
  <x18tc:threadedComment ref="C66" dT="2026-09-14T05:25:13.00" personId="{d5dd7048-4e76-494e-a1de-87d08ff7b69f}" id="{1aee7aa8-68df-43d0-ac83-31db383ba6d0}" parentId="{7836aea9-1711-4c0a-844e-853ee839e2ff}">
    <x18tc:text xml:space="preserve">@nghinguyen.31241021416@st.ueh.edu.vn</x18tc:text>
    <x18tc:mentions>
      <x18tc:mention mentionpersonId="{d570b572-2029-44c7-bf39-bf01655f0da2}" mentionId="{f8f32860-b047-47b5-a53c-5a4785481c1f}" startIndex="0" length="3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9-14T05:32:41.00" personId="{d5dd7048-4e76-494e-a1de-87d08ff7b69f}" id="{5a084617-46f4-4e2f-95c6-9d5981c084f3}" done="1">
    <x18tc:text xml:space="preserve">(20% × 2,200 triệu) là 440 triệu đko á?@nghinguyen.31241021416@st.ueh.edu.vn
Đã giao cho nghinguyen.31241021416@st.ueh.edu.vn</x18tc:text>
    <x18tc:mentions>
      <x18tc:mention mentionpersonId="{d570b572-2029-44c7-bf39-bf01655f0da2}" mentionId="{a55a3c06-3a49-4215-90d4-8c92f39dd20b}" startIndex="39" length="37"/>
    </x18tc:mentions>
  </x18tc:threadedComment>
  <x18tc:threadedComment ref="C13" dT="2026-09-14T05:32:56.00" personId="{d5dd7048-4e76-494e-a1de-87d08ff7b69f}" id="{0cb14300-b1c1-481a-bff5-06cb902df49f}" done="0">
    <x18tc:text xml:space="preserve">(20% × 2,200 triệu) là 440 triệu đko á?@nghinguyen.31241021416@st.ueh.edu.vn
Đã giao cho nghinguyen.31241021416@st.ueh.edu.vn</x18tc:text>
    <x18tc:mentions>
      <x18tc:mention mentionpersonId="{d570b572-2029-44c7-bf39-bf01655f0da2}" mentionId="{88252b90-14cb-40c8-b135-63baa965f5db}" startIndex="39" length="37"/>
    </x18tc:mentions>
  </x18tc:threadedComment>
  <x18tc:threadedComment ref="C13" dT="2026-09-14T07:22:47.00" personId="{4784c4b8-6227-43f7-ae59-535ff6a8022c}" id="{ba944cf0-aaf5-4b95-882a-d02b3cc8cb54}" parentId="{0cb14300-b1c1-481a-bff5-06cb902df49f}">
    <x18tc:text xml:space="preserve">dạ hong phải có ndung trong đó là cũ mà em chưa xóa á</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9-14T06:59:12.00" personId="{d5dd7048-4e76-494e-a1de-87d08ff7b69f}" id="{3a56332c-403f-4d16-a13a-c7c908cfda05}" done="0">
    <x18tc:text xml:space="preserve">Công thức nì chỉ đúng khi NPV và vốn đầu tư ban đầu được tính từ cùng một bộ dòng tiền và cùng góc nhìn.
- Nếu dùng NPV của EPV thì (Io) là vốn chủ sở hữu ban đầu.
- Nếu dùng NPV của TIPV thì (Io) phải là tổng vốn đầu tư của dự án.
Em check lại giúp chị mình đang theo góc nhìn nào nha. Chị thấy bài hiện tại nghiêng về EPV hơn vì có sử dụng Equity ban đầu và các khoản trả nợ, lãi vay.</x18tc:text>
  </x18tc:threadedComment>
  <x18tc:threadedComment ref="D8" dT="2026-09-14T07:03:05.00" personId="{d5dd7048-4e76-494e-a1de-87d08ff7b69f}" id="{43b2f6b4-afd1-445a-bc58-8dd1be83f08a}" parentId="{3a56332c-403f-4d16-a13a-c7c908cfda05}">
    <x18tc:text xml:space="preserve">@nghinguyen.31241021416@st.ueh.edu.vn</x18tc:text>
    <x18tc:mentions>
      <x18tc:mention mentionpersonId="{d570b572-2029-44c7-bf39-bf01655f0da2}" mentionId="{0e1f2035-a3ae-4bb2-89f9-cc374243fe0a}" startIndex="0" length="3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baodanang.vn/gia-sau-rieng-hom-nay-4-5-2026-on-dinh-ri6-tu-55-000-d-kg-3335181.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corporatefinanceinstitute.com/resources/accounting/benefit-cost-ratio-bcr/" TargetMode="External"/><Relationship Id="rId5" Type="http://schemas.openxmlformats.org/officeDocument/2006/relationships/drawing" Target="../drawings/drawing6.xml"/><Relationship Id="rId6"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16.43"/>
    <col customWidth="1" min="3" max="3" width="16.14"/>
    <col customWidth="1" min="4" max="4" width="19.43"/>
    <col customWidth="1" min="5" max="5" width="17.29"/>
    <col customWidth="1" min="6" max="8" width="18.0"/>
    <col customWidth="1" min="9" max="9" width="46.14"/>
    <col customWidth="1" min="10" max="26" width="11.0"/>
  </cols>
  <sheetData>
    <row r="1" ht="31.5" customHeight="1">
      <c r="A1" s="2" t="s">
        <v>1</v>
      </c>
      <c r="B1" s="4"/>
      <c r="C1" s="4"/>
      <c r="D1" s="6"/>
      <c r="E1" s="8"/>
      <c r="F1" s="8"/>
      <c r="G1" s="8"/>
      <c r="H1" s="8"/>
      <c r="I1" s="8"/>
      <c r="J1" s="8"/>
      <c r="K1" s="8"/>
      <c r="L1" s="8"/>
      <c r="M1" s="8"/>
      <c r="N1" s="8"/>
      <c r="O1" s="8"/>
      <c r="P1" s="8"/>
      <c r="Q1" s="8"/>
      <c r="R1" s="8"/>
      <c r="S1" s="8"/>
      <c r="T1" s="8"/>
      <c r="U1" s="8"/>
      <c r="V1" s="8"/>
      <c r="W1" s="8"/>
      <c r="X1" s="8"/>
      <c r="Y1" s="8"/>
      <c r="Z1" s="8"/>
    </row>
    <row r="2" ht="19.5" customHeight="1">
      <c r="A2" s="13" t="s">
        <v>13</v>
      </c>
      <c r="B2" s="13" t="s">
        <v>15</v>
      </c>
      <c r="C2" s="13" t="s">
        <v>16</v>
      </c>
      <c r="D2" s="13" t="s">
        <v>17</v>
      </c>
      <c r="E2" s="8"/>
      <c r="F2" s="8"/>
      <c r="G2" s="8"/>
      <c r="H2" s="8"/>
      <c r="I2" s="8"/>
      <c r="J2" s="8"/>
      <c r="K2" s="8"/>
      <c r="L2" s="8"/>
      <c r="M2" s="8"/>
      <c r="N2" s="8"/>
      <c r="O2" s="8"/>
      <c r="P2" s="8"/>
      <c r="Q2" s="8"/>
      <c r="R2" s="8"/>
      <c r="S2" s="8"/>
      <c r="T2" s="8"/>
      <c r="U2" s="8"/>
      <c r="V2" s="8"/>
      <c r="W2" s="8"/>
      <c r="X2" s="8"/>
      <c r="Y2" s="8"/>
      <c r="Z2" s="8"/>
    </row>
    <row r="3" ht="21.75" customHeight="1">
      <c r="A3" s="18" t="s">
        <v>19</v>
      </c>
      <c r="B3" s="4"/>
      <c r="C3" s="4"/>
      <c r="D3" s="6"/>
      <c r="E3" s="8"/>
      <c r="F3" s="8"/>
      <c r="G3" s="8"/>
      <c r="H3" s="8"/>
      <c r="I3" s="8"/>
      <c r="J3" s="8"/>
      <c r="K3" s="8"/>
      <c r="L3" s="8"/>
      <c r="M3" s="8"/>
      <c r="N3" s="8"/>
      <c r="O3" s="8"/>
      <c r="P3" s="8"/>
      <c r="Q3" s="8"/>
      <c r="R3" s="8"/>
      <c r="S3" s="8"/>
      <c r="T3" s="8"/>
      <c r="U3" s="8"/>
      <c r="V3" s="8"/>
      <c r="W3" s="8"/>
      <c r="X3" s="8"/>
      <c r="Y3" s="8"/>
      <c r="Z3" s="8"/>
    </row>
    <row r="4" ht="30.75" customHeight="1">
      <c r="A4" s="22" t="s">
        <v>21</v>
      </c>
      <c r="B4" s="27">
        <v>10.0</v>
      </c>
      <c r="C4" s="22" t="s">
        <v>26</v>
      </c>
      <c r="D4" s="30" t="s">
        <v>27</v>
      </c>
      <c r="E4" s="8"/>
      <c r="F4" s="8"/>
      <c r="G4" s="8"/>
      <c r="H4" s="8"/>
      <c r="I4" s="8"/>
      <c r="J4" s="8"/>
      <c r="K4" s="8"/>
      <c r="L4" s="8"/>
      <c r="M4" s="8"/>
      <c r="N4" s="8"/>
      <c r="O4" s="8"/>
      <c r="P4" s="8"/>
      <c r="Q4" s="8"/>
      <c r="R4" s="8"/>
      <c r="S4" s="8"/>
      <c r="T4" s="8"/>
      <c r="U4" s="8"/>
      <c r="V4" s="8"/>
      <c r="W4" s="8"/>
      <c r="X4" s="8"/>
      <c r="Y4" s="8"/>
      <c r="Z4" s="8"/>
    </row>
    <row r="5" ht="108.0" customHeight="1">
      <c r="A5" s="22" t="s">
        <v>28</v>
      </c>
      <c r="B5" s="31">
        <v>1800.0</v>
      </c>
      <c r="C5" s="22" t="s">
        <v>26</v>
      </c>
      <c r="D5" s="30" t="s">
        <v>29</v>
      </c>
      <c r="E5" s="32" t="s">
        <v>30</v>
      </c>
      <c r="F5" s="8"/>
      <c r="G5" s="8"/>
      <c r="H5" s="8"/>
      <c r="I5" s="8"/>
      <c r="J5" s="8"/>
      <c r="K5" s="8"/>
      <c r="L5" s="8"/>
      <c r="M5" s="8"/>
      <c r="N5" s="8"/>
      <c r="O5" s="8"/>
      <c r="P5" s="8"/>
      <c r="Q5" s="8"/>
      <c r="R5" s="8"/>
      <c r="S5" s="8"/>
      <c r="T5" s="8"/>
      <c r="U5" s="8"/>
      <c r="V5" s="8"/>
      <c r="W5" s="8"/>
      <c r="X5" s="8"/>
      <c r="Y5" s="8"/>
      <c r="Z5" s="8"/>
    </row>
    <row r="6" ht="61.5" customHeight="1">
      <c r="A6" s="35" t="s">
        <v>33</v>
      </c>
      <c r="B6" s="31">
        <f>'3. Chi phí chi tiết'!B10</f>
        <v>444</v>
      </c>
      <c r="C6" s="22" t="s">
        <v>26</v>
      </c>
      <c r="D6" s="30"/>
      <c r="E6" s="8"/>
      <c r="F6" s="8"/>
      <c r="G6" s="8"/>
      <c r="H6" s="8"/>
      <c r="I6" s="8"/>
      <c r="J6" s="8"/>
      <c r="K6" s="8"/>
      <c r="L6" s="8"/>
      <c r="M6" s="8"/>
      <c r="N6" s="8"/>
      <c r="O6" s="8"/>
      <c r="P6" s="8"/>
      <c r="Q6" s="8"/>
      <c r="R6" s="8"/>
      <c r="S6" s="8"/>
      <c r="T6" s="8"/>
      <c r="U6" s="8"/>
      <c r="V6" s="8"/>
      <c r="W6" s="8"/>
      <c r="X6" s="8"/>
      <c r="Y6" s="8"/>
      <c r="Z6" s="8"/>
    </row>
    <row r="7" ht="108.0" customHeight="1">
      <c r="A7" s="22" t="s">
        <v>36</v>
      </c>
      <c r="B7" s="31">
        <v>900.0</v>
      </c>
      <c r="C7" s="22" t="s">
        <v>26</v>
      </c>
      <c r="D7" s="30" t="s">
        <v>37</v>
      </c>
      <c r="E7" s="8"/>
      <c r="F7" s="8"/>
      <c r="G7" s="8"/>
      <c r="H7" s="8"/>
      <c r="I7" s="8"/>
      <c r="J7" s="8"/>
      <c r="K7" s="8"/>
      <c r="L7" s="8"/>
      <c r="M7" s="8"/>
      <c r="N7" s="8"/>
      <c r="O7" s="8"/>
      <c r="P7" s="8"/>
      <c r="Q7" s="8"/>
      <c r="R7" s="8"/>
      <c r="S7" s="8"/>
      <c r="T7" s="8"/>
      <c r="U7" s="8"/>
      <c r="V7" s="8"/>
      <c r="W7" s="8"/>
      <c r="X7" s="8"/>
      <c r="Y7" s="8"/>
      <c r="Z7" s="8"/>
    </row>
    <row r="8" ht="30.75" customHeight="1">
      <c r="A8" s="38" t="s">
        <v>38</v>
      </c>
      <c r="B8" s="39">
        <f>B4+B5+B6+B7</f>
        <v>3154</v>
      </c>
      <c r="C8" s="38" t="s">
        <v>26</v>
      </c>
      <c r="D8" s="40" t="s">
        <v>39</v>
      </c>
      <c r="E8" s="8"/>
      <c r="F8" s="8"/>
      <c r="G8" s="8"/>
      <c r="H8" s="8"/>
      <c r="I8" s="8"/>
      <c r="J8" s="8"/>
      <c r="K8" s="8"/>
      <c r="L8" s="8"/>
      <c r="M8" s="8"/>
      <c r="N8" s="8"/>
      <c r="O8" s="8"/>
      <c r="P8" s="8"/>
      <c r="Q8" s="8"/>
      <c r="R8" s="8"/>
      <c r="S8" s="8"/>
      <c r="T8" s="8"/>
      <c r="U8" s="8"/>
      <c r="V8" s="8"/>
      <c r="W8" s="8"/>
      <c r="X8" s="8"/>
      <c r="Y8" s="8"/>
      <c r="Z8" s="8"/>
    </row>
    <row r="9" ht="21.75" customHeight="1">
      <c r="A9" s="18" t="s">
        <v>41</v>
      </c>
      <c r="B9" s="4"/>
      <c r="C9" s="4"/>
      <c r="D9" s="6"/>
      <c r="E9" s="8"/>
      <c r="F9" s="8"/>
      <c r="G9" s="8"/>
      <c r="H9" s="8"/>
      <c r="I9" s="8"/>
      <c r="J9" s="8"/>
      <c r="K9" s="8"/>
      <c r="L9" s="8"/>
      <c r="M9" s="8"/>
      <c r="N9" s="8"/>
      <c r="O9" s="8"/>
      <c r="P9" s="8"/>
      <c r="Q9" s="8"/>
      <c r="R9" s="8"/>
      <c r="S9" s="8"/>
      <c r="T9" s="8"/>
      <c r="U9" s="8"/>
      <c r="V9" s="8"/>
      <c r="W9" s="8"/>
      <c r="X9" s="8"/>
      <c r="Y9" s="8"/>
      <c r="Z9" s="8"/>
    </row>
    <row r="10" ht="61.5" customHeight="1">
      <c r="A10" s="22" t="s">
        <v>45</v>
      </c>
      <c r="B10" s="45">
        <v>0.4</v>
      </c>
      <c r="C10" s="22" t="s">
        <v>46</v>
      </c>
      <c r="D10" s="40"/>
      <c r="E10" s="8"/>
      <c r="F10" s="8"/>
      <c r="G10" s="8"/>
      <c r="H10" s="8"/>
      <c r="I10" s="8"/>
      <c r="J10" s="8"/>
      <c r="K10" s="8"/>
      <c r="L10" s="8"/>
      <c r="M10" s="8"/>
      <c r="N10" s="8"/>
      <c r="O10" s="8"/>
      <c r="P10" s="8"/>
      <c r="Q10" s="8"/>
      <c r="R10" s="8"/>
      <c r="S10" s="8"/>
      <c r="T10" s="8"/>
      <c r="U10" s="8"/>
      <c r="V10" s="8"/>
      <c r="W10" s="8"/>
      <c r="X10" s="8"/>
      <c r="Y10" s="8"/>
      <c r="Z10" s="8"/>
    </row>
    <row r="11" ht="15.0" customHeight="1">
      <c r="A11" s="22" t="s">
        <v>48</v>
      </c>
      <c r="B11" s="45">
        <v>0.6</v>
      </c>
      <c r="C11" s="22" t="s">
        <v>46</v>
      </c>
      <c r="D11" s="40"/>
      <c r="E11" s="8"/>
      <c r="F11" s="8"/>
      <c r="G11" s="8"/>
      <c r="H11" s="8"/>
      <c r="I11" s="8"/>
      <c r="J11" s="8"/>
      <c r="K11" s="8"/>
      <c r="L11" s="8"/>
      <c r="M11" s="8"/>
      <c r="N11" s="8"/>
      <c r="O11" s="8"/>
      <c r="P11" s="8"/>
      <c r="Q11" s="8"/>
      <c r="R11" s="8"/>
      <c r="S11" s="8"/>
      <c r="T11" s="8"/>
      <c r="U11" s="8"/>
      <c r="V11" s="8"/>
      <c r="W11" s="8"/>
      <c r="X11" s="8"/>
      <c r="Y11" s="8"/>
      <c r="Z11" s="8"/>
    </row>
    <row r="12" ht="30.75" customHeight="1">
      <c r="A12" s="22" t="s">
        <v>50</v>
      </c>
      <c r="B12" s="27">
        <f>B8*B10</f>
        <v>1261.6</v>
      </c>
      <c r="C12" s="22" t="s">
        <v>26</v>
      </c>
      <c r="D12" s="30"/>
      <c r="E12" s="8"/>
      <c r="F12" s="8"/>
      <c r="G12" s="8"/>
      <c r="H12" s="8"/>
      <c r="I12" s="8"/>
      <c r="J12" s="8"/>
      <c r="K12" s="8"/>
      <c r="L12" s="8"/>
      <c r="M12" s="8"/>
      <c r="N12" s="8"/>
      <c r="O12" s="8"/>
      <c r="P12" s="8"/>
      <c r="Q12" s="8"/>
      <c r="R12" s="8"/>
      <c r="S12" s="8"/>
      <c r="T12" s="8"/>
      <c r="U12" s="8"/>
      <c r="V12" s="8"/>
      <c r="W12" s="8"/>
      <c r="X12" s="8"/>
      <c r="Y12" s="8"/>
      <c r="Z12" s="8"/>
    </row>
    <row r="13" ht="30.75" customHeight="1">
      <c r="A13" s="22" t="s">
        <v>51</v>
      </c>
      <c r="B13" s="27">
        <f>B8*B11</f>
        <v>1892.4</v>
      </c>
      <c r="C13" s="22" t="s">
        <v>26</v>
      </c>
      <c r="D13" s="30"/>
      <c r="E13" s="8"/>
      <c r="F13" s="8"/>
      <c r="G13" s="8"/>
      <c r="H13" s="8"/>
      <c r="I13" s="8"/>
      <c r="J13" s="8"/>
      <c r="K13" s="8"/>
      <c r="L13" s="8"/>
      <c r="M13" s="8"/>
      <c r="N13" s="8"/>
      <c r="O13" s="8"/>
      <c r="P13" s="8"/>
      <c r="Q13" s="8"/>
      <c r="R13" s="8"/>
      <c r="S13" s="8"/>
      <c r="T13" s="8"/>
      <c r="U13" s="8"/>
      <c r="V13" s="8"/>
      <c r="W13" s="8"/>
      <c r="X13" s="8"/>
      <c r="Y13" s="8"/>
      <c r="Z13" s="8"/>
    </row>
    <row r="14" ht="61.5" customHeight="1">
      <c r="A14" s="22" t="s">
        <v>53</v>
      </c>
      <c r="B14" s="51">
        <v>0.11</v>
      </c>
      <c r="C14" s="22" t="s">
        <v>54</v>
      </c>
      <c r="D14" s="30"/>
      <c r="E14" s="8"/>
      <c r="F14" s="8"/>
      <c r="G14" s="8"/>
      <c r="H14" s="8"/>
      <c r="I14" s="8"/>
      <c r="J14" s="8"/>
      <c r="K14" s="8"/>
      <c r="L14" s="8"/>
      <c r="M14" s="8"/>
      <c r="N14" s="8"/>
      <c r="O14" s="8"/>
      <c r="P14" s="8"/>
      <c r="Q14" s="8"/>
      <c r="R14" s="8"/>
      <c r="S14" s="8"/>
      <c r="T14" s="8"/>
      <c r="U14" s="8"/>
      <c r="V14" s="8"/>
      <c r="W14" s="8"/>
      <c r="X14" s="8"/>
      <c r="Y14" s="8"/>
      <c r="Z14" s="8"/>
    </row>
    <row r="15" ht="93.0" customHeight="1">
      <c r="A15" s="22" t="s">
        <v>55</v>
      </c>
      <c r="B15" s="51">
        <v>0.18</v>
      </c>
      <c r="C15" s="22" t="s">
        <v>54</v>
      </c>
      <c r="D15" s="30"/>
      <c r="E15" s="8"/>
      <c r="F15" s="8"/>
      <c r="G15" s="8"/>
      <c r="H15" s="8"/>
      <c r="I15" s="8"/>
      <c r="J15" s="8"/>
      <c r="K15" s="8"/>
      <c r="L15" s="8"/>
      <c r="M15" s="8"/>
      <c r="N15" s="8"/>
      <c r="O15" s="8"/>
      <c r="P15" s="8"/>
      <c r="Q15" s="8"/>
      <c r="R15" s="8"/>
      <c r="S15" s="8"/>
      <c r="T15" s="8"/>
      <c r="U15" s="8"/>
      <c r="V15" s="8"/>
      <c r="W15" s="8"/>
      <c r="X15" s="8"/>
      <c r="Y15" s="8"/>
      <c r="Z15" s="8"/>
    </row>
    <row r="16" ht="30.75" customHeight="1">
      <c r="A16" s="22" t="s">
        <v>57</v>
      </c>
      <c r="B16" s="45">
        <v>0.2</v>
      </c>
      <c r="C16" s="22" t="s">
        <v>46</v>
      </c>
      <c r="D16" s="40"/>
      <c r="E16" s="8"/>
      <c r="F16" s="8"/>
      <c r="G16" s="8"/>
      <c r="H16" s="8"/>
      <c r="I16" s="8"/>
      <c r="J16" s="8"/>
      <c r="K16" s="8"/>
      <c r="L16" s="8"/>
      <c r="M16" s="8"/>
      <c r="N16" s="8"/>
      <c r="O16" s="8"/>
      <c r="P16" s="8"/>
      <c r="Q16" s="8"/>
      <c r="R16" s="8"/>
      <c r="S16" s="8"/>
      <c r="T16" s="8"/>
      <c r="U16" s="8"/>
      <c r="V16" s="8"/>
      <c r="W16" s="8"/>
      <c r="X16" s="8"/>
      <c r="Y16" s="8"/>
      <c r="Z16" s="8"/>
    </row>
    <row r="17">
      <c r="A17" s="22" t="s">
        <v>58</v>
      </c>
      <c r="B17" s="51">
        <f>B15*B11+B14*(1-B16)*B10</f>
        <v>0.1432</v>
      </c>
      <c r="C17" s="22" t="s">
        <v>54</v>
      </c>
      <c r="D17" s="40" t="s">
        <v>60</v>
      </c>
      <c r="E17" s="8"/>
      <c r="F17" s="8"/>
      <c r="G17" s="8"/>
      <c r="H17" s="8"/>
      <c r="I17" s="8"/>
      <c r="J17" s="8"/>
      <c r="K17" s="8"/>
      <c r="L17" s="8"/>
      <c r="M17" s="8"/>
      <c r="N17" s="8"/>
      <c r="O17" s="8"/>
      <c r="P17" s="8"/>
      <c r="Q17" s="8"/>
      <c r="R17" s="8"/>
      <c r="S17" s="8"/>
      <c r="T17" s="8"/>
      <c r="U17" s="8"/>
      <c r="V17" s="8"/>
      <c r="W17" s="8"/>
      <c r="X17" s="8"/>
      <c r="Y17" s="8"/>
      <c r="Z17" s="8"/>
    </row>
    <row r="18" ht="15.0" customHeight="1">
      <c r="A18" s="22" t="s">
        <v>62</v>
      </c>
      <c r="B18" s="57">
        <v>4.0</v>
      </c>
      <c r="C18" s="22" t="s">
        <v>54</v>
      </c>
      <c r="D18" s="40" t="s">
        <v>63</v>
      </c>
      <c r="E18" s="8"/>
      <c r="F18" s="8"/>
      <c r="G18" s="8"/>
      <c r="H18" s="8"/>
      <c r="I18" s="8"/>
      <c r="J18" s="8"/>
      <c r="K18" s="8"/>
      <c r="L18" s="8"/>
      <c r="M18" s="8"/>
      <c r="N18" s="8"/>
      <c r="O18" s="8"/>
      <c r="P18" s="8"/>
      <c r="Q18" s="8"/>
      <c r="R18" s="8"/>
      <c r="S18" s="8"/>
      <c r="T18" s="8"/>
      <c r="U18" s="8"/>
      <c r="V18" s="8"/>
      <c r="W18" s="8"/>
      <c r="X18" s="8"/>
      <c r="Y18" s="8"/>
      <c r="Z18" s="8"/>
    </row>
    <row r="19" ht="21.75" customHeight="1">
      <c r="A19" s="59" t="s">
        <v>64</v>
      </c>
      <c r="B19" s="11"/>
      <c r="C19" s="11"/>
      <c r="D19" s="11"/>
      <c r="E19" s="11"/>
      <c r="F19" s="11"/>
      <c r="G19" s="11"/>
      <c r="H19" s="11"/>
      <c r="I19" s="12"/>
      <c r="J19" s="8"/>
      <c r="K19" s="8"/>
      <c r="L19" s="8"/>
      <c r="M19" s="8"/>
      <c r="N19" s="8"/>
      <c r="O19" s="8"/>
      <c r="P19" s="8"/>
      <c r="Q19" s="8"/>
      <c r="R19" s="8"/>
      <c r="S19" s="8"/>
      <c r="T19" s="8"/>
      <c r="U19" s="8"/>
      <c r="V19" s="8"/>
      <c r="W19" s="8"/>
      <c r="X19" s="8"/>
      <c r="Y19" s="8"/>
      <c r="Z19" s="8"/>
    </row>
    <row r="20" ht="15.0" customHeight="1">
      <c r="A20" s="60" t="s">
        <v>13</v>
      </c>
      <c r="B20" s="61" t="s">
        <v>66</v>
      </c>
      <c r="C20" s="61" t="s">
        <v>67</v>
      </c>
      <c r="D20" s="61" t="s">
        <v>68</v>
      </c>
      <c r="E20" s="61" t="s">
        <v>69</v>
      </c>
      <c r="F20" s="61" t="s">
        <v>70</v>
      </c>
      <c r="G20" s="61" t="s">
        <v>71</v>
      </c>
      <c r="H20" s="62" t="s">
        <v>73</v>
      </c>
      <c r="I20" s="63" t="s">
        <v>74</v>
      </c>
      <c r="J20" s="64" t="s">
        <v>75</v>
      </c>
      <c r="K20" s="8"/>
      <c r="L20" s="8"/>
      <c r="M20" s="8"/>
      <c r="N20" s="8"/>
      <c r="O20" s="8"/>
      <c r="P20" s="8"/>
      <c r="Q20" s="8"/>
      <c r="R20" s="8"/>
      <c r="S20" s="8"/>
      <c r="T20" s="8"/>
      <c r="U20" s="8"/>
      <c r="V20" s="8"/>
      <c r="W20" s="8"/>
      <c r="X20" s="8"/>
      <c r="Y20" s="8"/>
      <c r="Z20" s="8"/>
    </row>
    <row r="21" ht="15.0" customHeight="1">
      <c r="A21" s="22" t="s">
        <v>23</v>
      </c>
      <c r="B21" s="65">
        <v>1.0</v>
      </c>
      <c r="C21" s="65">
        <v>1.0</v>
      </c>
      <c r="D21" s="65">
        <v>1.0</v>
      </c>
      <c r="E21" s="65">
        <v>1.0</v>
      </c>
      <c r="F21" s="65">
        <v>2.0</v>
      </c>
      <c r="G21" s="65">
        <v>2.0</v>
      </c>
      <c r="H21" s="66">
        <v>2.0</v>
      </c>
      <c r="I21" s="66">
        <v>2.0</v>
      </c>
      <c r="J21" s="67">
        <v>10.0</v>
      </c>
      <c r="K21" s="8"/>
      <c r="L21" s="8"/>
      <c r="M21" s="8"/>
      <c r="N21" s="8"/>
      <c r="O21" s="8"/>
      <c r="P21" s="8"/>
      <c r="Q21" s="8"/>
      <c r="R21" s="8"/>
      <c r="S21" s="8"/>
      <c r="T21" s="8"/>
      <c r="U21" s="8"/>
      <c r="V21" s="8"/>
      <c r="W21" s="8"/>
      <c r="X21" s="8"/>
      <c r="Y21" s="8"/>
      <c r="Z21" s="8"/>
    </row>
    <row r="22" ht="15.0" customHeight="1">
      <c r="A22" s="22" t="s">
        <v>77</v>
      </c>
      <c r="B22" s="67">
        <v>1.0</v>
      </c>
      <c r="C22" s="65">
        <v>2.0</v>
      </c>
      <c r="D22" s="65">
        <v>2.0</v>
      </c>
      <c r="E22" s="65">
        <v>3.0</v>
      </c>
      <c r="F22" s="65">
        <v>4.0</v>
      </c>
      <c r="G22" s="67">
        <v>4.0</v>
      </c>
      <c r="H22" s="66">
        <v>4.0</v>
      </c>
      <c r="I22" s="66">
        <v>4.0</v>
      </c>
      <c r="J22" s="67">
        <v>8.0</v>
      </c>
      <c r="K22" s="8"/>
      <c r="L22" s="8"/>
      <c r="M22" s="8"/>
      <c r="N22" s="8"/>
      <c r="O22" s="8"/>
      <c r="P22" s="8"/>
      <c r="Q22" s="8"/>
      <c r="R22" s="8"/>
      <c r="S22" s="8"/>
      <c r="T22" s="8"/>
      <c r="U22" s="8"/>
      <c r="V22" s="8"/>
      <c r="W22" s="8"/>
      <c r="X22" s="8"/>
      <c r="Y22" s="8"/>
      <c r="Z22" s="8"/>
    </row>
    <row r="23" ht="15.0" customHeight="1">
      <c r="A23" s="22" t="s">
        <v>78</v>
      </c>
      <c r="B23" s="65">
        <v>1.0</v>
      </c>
      <c r="C23" s="65">
        <v>1.0</v>
      </c>
      <c r="D23" s="65">
        <v>1.0</v>
      </c>
      <c r="E23" s="67">
        <v>1.0</v>
      </c>
      <c r="F23" s="65">
        <v>2.0</v>
      </c>
      <c r="G23" s="67">
        <v>2.0</v>
      </c>
      <c r="H23" s="66">
        <v>2.0</v>
      </c>
      <c r="I23" s="66">
        <v>2.0</v>
      </c>
      <c r="J23" s="67">
        <v>7.0</v>
      </c>
      <c r="K23" s="8"/>
      <c r="L23" s="8"/>
      <c r="M23" s="8"/>
      <c r="N23" s="8"/>
      <c r="O23" s="8"/>
      <c r="P23" s="8"/>
      <c r="Q23" s="8"/>
      <c r="R23" s="8"/>
      <c r="S23" s="8"/>
      <c r="T23" s="8"/>
      <c r="U23" s="8"/>
      <c r="V23" s="8"/>
      <c r="W23" s="8"/>
      <c r="X23" s="8"/>
      <c r="Y23" s="8"/>
      <c r="Z23" s="8"/>
    </row>
    <row r="24" ht="15.0" customHeight="1">
      <c r="A24" s="22" t="s">
        <v>79</v>
      </c>
      <c r="B24" s="65">
        <v>1.0</v>
      </c>
      <c r="C24" s="65">
        <v>1.0</v>
      </c>
      <c r="D24" s="65">
        <v>1.0</v>
      </c>
      <c r="E24" s="65">
        <v>2.0</v>
      </c>
      <c r="F24" s="65">
        <v>2.0</v>
      </c>
      <c r="G24" s="65">
        <v>3.0</v>
      </c>
      <c r="H24" s="66">
        <v>3.0</v>
      </c>
      <c r="I24" s="66">
        <v>3.0</v>
      </c>
      <c r="J24" s="67">
        <v>6.0</v>
      </c>
      <c r="K24" s="8"/>
      <c r="L24" s="8"/>
      <c r="M24" s="8"/>
      <c r="N24" s="8"/>
      <c r="O24" s="8"/>
      <c r="P24" s="8"/>
      <c r="Q24" s="8"/>
      <c r="R24" s="8"/>
      <c r="S24" s="8"/>
      <c r="T24" s="8"/>
      <c r="U24" s="8"/>
      <c r="V24" s="8"/>
      <c r="W24" s="8"/>
      <c r="X24" s="8"/>
      <c r="Y24" s="8"/>
      <c r="Z24" s="8"/>
    </row>
    <row r="25" ht="15.0" customHeight="1">
      <c r="A25" s="22" t="s">
        <v>81</v>
      </c>
      <c r="B25" s="65">
        <v>1.0</v>
      </c>
      <c r="C25" s="65">
        <v>1.0</v>
      </c>
      <c r="D25" s="65">
        <v>1.0</v>
      </c>
      <c r="E25" s="65">
        <v>1.0</v>
      </c>
      <c r="F25" s="65">
        <v>2.0</v>
      </c>
      <c r="G25" s="65">
        <v>2.0</v>
      </c>
      <c r="H25" s="66">
        <v>3.0</v>
      </c>
      <c r="I25" s="66">
        <v>3.0</v>
      </c>
      <c r="J25" s="67">
        <v>6.0</v>
      </c>
      <c r="K25" s="8"/>
      <c r="L25" s="8"/>
      <c r="M25" s="8"/>
      <c r="N25" s="8"/>
      <c r="O25" s="8"/>
      <c r="P25" s="8"/>
      <c r="Q25" s="8"/>
      <c r="R25" s="8"/>
      <c r="S25" s="8"/>
      <c r="T25" s="8"/>
      <c r="U25" s="8"/>
      <c r="V25" s="8"/>
      <c r="W25" s="8"/>
      <c r="X25" s="8"/>
      <c r="Y25" s="8"/>
      <c r="Z25" s="8"/>
    </row>
    <row r="26" ht="15.0" customHeight="1">
      <c r="A26" s="22" t="s">
        <v>83</v>
      </c>
      <c r="B26" s="67">
        <v>0.0</v>
      </c>
      <c r="C26" s="65">
        <v>1.0</v>
      </c>
      <c r="D26" s="65">
        <v>2.0</v>
      </c>
      <c r="E26" s="71">
        <v>2.0</v>
      </c>
      <c r="F26" s="67">
        <v>2.0</v>
      </c>
      <c r="G26" s="67">
        <v>2.0</v>
      </c>
      <c r="H26" s="66">
        <v>3.0</v>
      </c>
      <c r="I26" s="66">
        <v>3.0</v>
      </c>
      <c r="J26" s="67">
        <v>7.0</v>
      </c>
      <c r="K26" s="8"/>
      <c r="L26" s="8"/>
      <c r="M26" s="8"/>
      <c r="N26" s="8"/>
      <c r="O26" s="8"/>
      <c r="P26" s="8"/>
      <c r="Q26" s="8"/>
      <c r="R26" s="8"/>
      <c r="S26" s="8"/>
      <c r="T26" s="8"/>
      <c r="U26" s="8"/>
      <c r="V26" s="8"/>
      <c r="W26" s="8"/>
      <c r="X26" s="8"/>
      <c r="Y26" s="8"/>
      <c r="Z26" s="8"/>
    </row>
    <row r="27" ht="77.25" customHeight="1">
      <c r="A27" s="22" t="s">
        <v>84</v>
      </c>
      <c r="B27" s="73">
        <v>0.05</v>
      </c>
      <c r="C27" s="22" t="s">
        <v>54</v>
      </c>
      <c r="D27" s="74"/>
      <c r="E27" s="8"/>
      <c r="F27" s="8"/>
      <c r="G27" s="8"/>
      <c r="H27" s="8"/>
      <c r="I27" s="8"/>
      <c r="J27" s="8"/>
      <c r="K27" s="8"/>
      <c r="L27" s="8"/>
      <c r="M27" s="8"/>
      <c r="N27" s="8"/>
      <c r="O27" s="8"/>
      <c r="P27" s="8"/>
      <c r="Q27" s="8"/>
      <c r="R27" s="8"/>
      <c r="S27" s="8"/>
      <c r="T27" s="8"/>
      <c r="U27" s="8"/>
      <c r="V27" s="8"/>
      <c r="W27" s="8"/>
      <c r="X27" s="8"/>
      <c r="Y27" s="8"/>
      <c r="Z27" s="8"/>
    </row>
    <row r="28" ht="21.75" customHeight="1">
      <c r="A28" s="18" t="s">
        <v>85</v>
      </c>
      <c r="B28" s="4"/>
      <c r="C28" s="4"/>
      <c r="D28" s="6"/>
      <c r="E28" s="8"/>
      <c r="F28" s="8"/>
      <c r="G28" s="8"/>
      <c r="H28" s="8"/>
      <c r="I28" s="8"/>
      <c r="J28" s="8"/>
      <c r="K28" s="8"/>
      <c r="L28" s="8"/>
      <c r="M28" s="8"/>
      <c r="N28" s="8"/>
      <c r="O28" s="8"/>
      <c r="P28" s="8"/>
      <c r="Q28" s="8"/>
      <c r="R28" s="8"/>
      <c r="S28" s="8"/>
      <c r="T28" s="8"/>
      <c r="U28" s="8"/>
      <c r="V28" s="8"/>
      <c r="W28" s="8"/>
      <c r="X28" s="8"/>
      <c r="Y28" s="8"/>
      <c r="Z28" s="8"/>
    </row>
    <row r="29" ht="61.5" customHeight="1">
      <c r="A29" s="22" t="s">
        <v>88</v>
      </c>
      <c r="B29" s="76" t="s">
        <v>89</v>
      </c>
      <c r="C29" s="22" t="s">
        <v>90</v>
      </c>
      <c r="D29" s="40"/>
      <c r="E29" s="8"/>
      <c r="F29" s="8"/>
      <c r="G29" s="8"/>
      <c r="H29" s="8"/>
      <c r="I29" s="8"/>
      <c r="J29" s="8"/>
      <c r="K29" s="8"/>
      <c r="L29" s="8"/>
      <c r="M29" s="8"/>
      <c r="N29" s="8"/>
      <c r="O29" s="8"/>
      <c r="P29" s="8"/>
      <c r="Q29" s="8"/>
      <c r="R29" s="8"/>
      <c r="S29" s="8"/>
      <c r="T29" s="8"/>
      <c r="U29" s="8"/>
      <c r="V29" s="8"/>
      <c r="W29" s="8"/>
      <c r="X29" s="8"/>
      <c r="Y29" s="8"/>
      <c r="Z29" s="8"/>
    </row>
    <row r="30">
      <c r="A30" s="22" t="s">
        <v>91</v>
      </c>
      <c r="B30" s="77">
        <v>13.0</v>
      </c>
      <c r="C30" s="22" t="s">
        <v>26</v>
      </c>
      <c r="D30" s="30"/>
      <c r="E30" s="8"/>
      <c r="F30" s="8"/>
      <c r="G30" s="8"/>
      <c r="H30" s="8"/>
      <c r="I30" s="8"/>
      <c r="J30" s="8"/>
      <c r="K30" s="8"/>
      <c r="L30" s="8"/>
      <c r="M30" s="8"/>
      <c r="N30" s="8"/>
      <c r="O30" s="8"/>
      <c r="P30" s="8"/>
      <c r="Q30" s="8"/>
      <c r="R30" s="8"/>
      <c r="S30" s="8"/>
      <c r="T30" s="8"/>
      <c r="U30" s="8"/>
      <c r="V30" s="8"/>
      <c r="W30" s="8"/>
      <c r="X30" s="8"/>
      <c r="Y30" s="8"/>
      <c r="Z30" s="8"/>
    </row>
    <row r="31">
      <c r="A31" s="22" t="s">
        <v>93</v>
      </c>
      <c r="B31" s="73">
        <v>0.15</v>
      </c>
      <c r="C31" s="22" t="s">
        <v>46</v>
      </c>
      <c r="D31" s="30" t="s">
        <v>94</v>
      </c>
      <c r="E31" s="32"/>
      <c r="F31" s="8"/>
      <c r="G31" s="8"/>
      <c r="H31" s="8"/>
      <c r="I31" s="8"/>
      <c r="J31" s="8"/>
      <c r="K31" s="8"/>
      <c r="L31" s="8"/>
      <c r="M31" s="8"/>
      <c r="N31" s="8"/>
      <c r="O31" s="8"/>
      <c r="P31" s="8"/>
      <c r="Q31" s="8"/>
      <c r="R31" s="8"/>
      <c r="S31" s="8"/>
      <c r="T31" s="8"/>
      <c r="U31" s="8"/>
      <c r="V31" s="8"/>
      <c r="W31" s="8"/>
      <c r="X31" s="8"/>
      <c r="Y31" s="8"/>
      <c r="Z31" s="8"/>
    </row>
    <row r="32" ht="30.75" customHeight="1">
      <c r="A32" s="35" t="s">
        <v>96</v>
      </c>
      <c r="B32" s="45">
        <v>0.05</v>
      </c>
      <c r="C32" s="22" t="s">
        <v>46</v>
      </c>
      <c r="D32" s="40"/>
      <c r="E32" s="8"/>
      <c r="F32" s="8"/>
      <c r="G32" s="8"/>
      <c r="H32" s="8"/>
      <c r="I32" s="8"/>
      <c r="J32" s="8"/>
      <c r="K32" s="8"/>
      <c r="L32" s="8"/>
      <c r="M32" s="8"/>
      <c r="N32" s="8"/>
      <c r="O32" s="8"/>
      <c r="P32" s="8"/>
      <c r="Q32" s="8"/>
      <c r="R32" s="8"/>
      <c r="S32" s="8"/>
      <c r="T32" s="8"/>
      <c r="U32" s="8"/>
      <c r="V32" s="8"/>
      <c r="W32" s="8"/>
      <c r="X32" s="8"/>
      <c r="Y32" s="8"/>
      <c r="Z32" s="8"/>
    </row>
    <row r="33" ht="30.75" customHeight="1">
      <c r="A33" s="35" t="s">
        <v>97</v>
      </c>
      <c r="B33" s="45">
        <v>0.0595</v>
      </c>
      <c r="C33" s="22" t="s">
        <v>46</v>
      </c>
      <c r="D33" s="40"/>
      <c r="E33" s="8"/>
      <c r="F33" s="8"/>
      <c r="G33" s="8"/>
      <c r="H33" s="8"/>
      <c r="I33" s="8"/>
      <c r="J33" s="8"/>
      <c r="K33" s="8"/>
      <c r="L33" s="8"/>
      <c r="M33" s="8"/>
      <c r="N33" s="8"/>
      <c r="O33" s="8"/>
      <c r="P33" s="8"/>
      <c r="Q33" s="8"/>
      <c r="R33" s="8"/>
      <c r="S33" s="8"/>
      <c r="T33" s="8"/>
      <c r="U33" s="8"/>
      <c r="V33" s="8"/>
      <c r="W33" s="8"/>
      <c r="X33" s="8"/>
      <c r="Y33" s="8"/>
      <c r="Z33" s="8"/>
    </row>
    <row r="34" ht="21.75" customHeight="1">
      <c r="A34" s="18" t="s">
        <v>98</v>
      </c>
      <c r="B34" s="4"/>
      <c r="C34" s="4"/>
      <c r="D34" s="6"/>
      <c r="E34" s="8"/>
      <c r="F34" s="8"/>
      <c r="G34" s="8"/>
      <c r="H34" s="8"/>
      <c r="I34" s="8"/>
      <c r="J34" s="8"/>
      <c r="K34" s="8"/>
      <c r="L34" s="8"/>
      <c r="M34" s="8"/>
      <c r="N34" s="8"/>
      <c r="O34" s="8"/>
      <c r="P34" s="8"/>
      <c r="Q34" s="8"/>
      <c r="R34" s="8"/>
      <c r="S34" s="8"/>
      <c r="T34" s="8"/>
      <c r="U34" s="8"/>
      <c r="V34" s="8"/>
      <c r="W34" s="8"/>
      <c r="X34" s="8"/>
      <c r="Y34" s="8"/>
      <c r="Z34" s="8"/>
    </row>
    <row r="35" ht="30.75" customHeight="1">
      <c r="A35" s="22" t="s">
        <v>100</v>
      </c>
      <c r="B35" s="45">
        <v>0.1</v>
      </c>
      <c r="C35" s="22" t="s">
        <v>46</v>
      </c>
      <c r="D35" s="40" t="s">
        <v>101</v>
      </c>
      <c r="E35" s="8"/>
      <c r="F35" s="8"/>
      <c r="G35" s="8"/>
      <c r="H35" s="8"/>
      <c r="I35" s="8"/>
      <c r="J35" s="8"/>
      <c r="K35" s="8"/>
      <c r="L35" s="8"/>
      <c r="M35" s="8"/>
      <c r="N35" s="8"/>
      <c r="O35" s="8"/>
      <c r="P35" s="8"/>
      <c r="Q35" s="8"/>
      <c r="R35" s="8"/>
      <c r="S35" s="8"/>
      <c r="T35" s="8"/>
      <c r="U35" s="8"/>
      <c r="V35" s="8"/>
      <c r="W35" s="8"/>
      <c r="X35" s="8"/>
      <c r="Y35" s="8"/>
      <c r="Z35" s="8"/>
    </row>
    <row r="36" ht="30.75" customHeight="1">
      <c r="A36" s="22" t="s">
        <v>102</v>
      </c>
      <c r="B36" s="45">
        <v>0.1</v>
      </c>
      <c r="C36" s="22" t="s">
        <v>46</v>
      </c>
      <c r="D36" s="40" t="s">
        <v>103</v>
      </c>
      <c r="E36" s="8"/>
      <c r="F36" s="8"/>
      <c r="G36" s="8"/>
      <c r="H36" s="8"/>
      <c r="I36" s="8"/>
      <c r="J36" s="8"/>
      <c r="K36" s="8"/>
      <c r="L36" s="8"/>
      <c r="M36" s="8"/>
      <c r="N36" s="8"/>
      <c r="O36" s="8"/>
      <c r="P36" s="8"/>
      <c r="Q36" s="8"/>
      <c r="R36" s="8"/>
      <c r="S36" s="8"/>
      <c r="T36" s="8"/>
      <c r="U36" s="8"/>
      <c r="V36" s="8"/>
      <c r="W36" s="8"/>
      <c r="X36" s="8"/>
      <c r="Y36" s="8"/>
      <c r="Z36" s="8"/>
    </row>
    <row r="37" ht="15.0" customHeight="1">
      <c r="A37" s="22" t="s">
        <v>104</v>
      </c>
      <c r="B37" s="45">
        <v>0.02</v>
      </c>
      <c r="C37" s="22" t="s">
        <v>46</v>
      </c>
      <c r="D37" s="40" t="s">
        <v>105</v>
      </c>
      <c r="E37" s="8"/>
      <c r="F37" s="8"/>
      <c r="G37" s="8"/>
      <c r="H37" s="8"/>
      <c r="I37" s="8"/>
      <c r="J37" s="8"/>
      <c r="K37" s="8"/>
      <c r="L37" s="8"/>
      <c r="M37" s="8"/>
      <c r="N37" s="8"/>
      <c r="O37" s="8"/>
      <c r="P37" s="8"/>
      <c r="Q37" s="8"/>
      <c r="R37" s="8"/>
      <c r="S37" s="8"/>
      <c r="T37" s="8"/>
      <c r="U37" s="8"/>
      <c r="V37" s="8"/>
      <c r="W37" s="8"/>
      <c r="X37" s="8"/>
      <c r="Y37" s="8"/>
      <c r="Z37" s="8"/>
    </row>
    <row r="38" ht="21.75" customHeight="1">
      <c r="A38" s="18" t="s">
        <v>107</v>
      </c>
      <c r="B38" s="4"/>
      <c r="C38" s="4"/>
      <c r="D38" s="6"/>
      <c r="E38" s="8"/>
      <c r="F38" s="8"/>
      <c r="G38" s="8"/>
      <c r="H38" s="8"/>
      <c r="I38" s="8"/>
      <c r="J38" s="8"/>
      <c r="K38" s="8"/>
      <c r="L38" s="8"/>
      <c r="M38" s="8"/>
      <c r="N38" s="8"/>
      <c r="O38" s="8"/>
      <c r="P38" s="8"/>
      <c r="Q38" s="8"/>
      <c r="R38" s="8"/>
      <c r="S38" s="8"/>
      <c r="T38" s="8"/>
      <c r="U38" s="8"/>
      <c r="V38" s="8"/>
      <c r="W38" s="8"/>
      <c r="X38" s="8"/>
      <c r="Y38" s="8"/>
      <c r="Z38" s="8"/>
    </row>
    <row r="39" ht="93.0" customHeight="1">
      <c r="A39" s="22" t="s">
        <v>108</v>
      </c>
      <c r="B39" s="73">
        <v>0.2</v>
      </c>
      <c r="C39" s="22" t="s">
        <v>109</v>
      </c>
      <c r="D39" s="81" t="s">
        <v>110</v>
      </c>
      <c r="E39" s="8"/>
      <c r="F39" s="8"/>
      <c r="G39" s="8"/>
      <c r="H39" s="8"/>
      <c r="I39" s="8"/>
      <c r="J39" s="8"/>
      <c r="K39" s="8"/>
      <c r="L39" s="8"/>
      <c r="M39" s="8"/>
      <c r="N39" s="8"/>
      <c r="O39" s="8"/>
      <c r="P39" s="8"/>
      <c r="Q39" s="8"/>
      <c r="R39" s="8"/>
      <c r="S39" s="8"/>
      <c r="T39" s="8"/>
      <c r="U39" s="8"/>
      <c r="V39" s="8"/>
      <c r="W39" s="8"/>
      <c r="X39" s="8"/>
      <c r="Y39" s="8"/>
      <c r="Z39" s="8"/>
    </row>
    <row r="40" ht="93.0" customHeight="1">
      <c r="A40" s="22" t="s">
        <v>111</v>
      </c>
      <c r="B40" s="73">
        <v>0.12</v>
      </c>
      <c r="C40" s="22" t="s">
        <v>109</v>
      </c>
      <c r="D40" s="30" t="s">
        <v>113</v>
      </c>
      <c r="E40" s="8"/>
      <c r="F40" s="8"/>
      <c r="G40" s="8"/>
      <c r="H40" s="8"/>
      <c r="I40" s="8"/>
      <c r="J40" s="8"/>
      <c r="K40" s="8"/>
      <c r="L40" s="8"/>
      <c r="M40" s="8"/>
      <c r="N40" s="8"/>
      <c r="O40" s="8"/>
      <c r="P40" s="8"/>
      <c r="Q40" s="8"/>
      <c r="R40" s="8"/>
      <c r="S40" s="8"/>
      <c r="T40" s="8"/>
      <c r="U40" s="8"/>
      <c r="V40" s="8"/>
      <c r="W40" s="8"/>
      <c r="X40" s="8"/>
      <c r="Y40" s="8"/>
      <c r="Z40" s="8"/>
    </row>
    <row r="41" ht="108.0" customHeight="1">
      <c r="A41" s="22" t="s">
        <v>114</v>
      </c>
      <c r="B41" s="73">
        <v>0.1</v>
      </c>
      <c r="C41" s="22" t="s">
        <v>109</v>
      </c>
      <c r="D41" s="30" t="s">
        <v>115</v>
      </c>
      <c r="E41" s="82">
        <f>sum(B39:B42)</f>
        <v>0.57</v>
      </c>
      <c r="F41" s="8"/>
      <c r="G41" s="8"/>
      <c r="H41" s="8"/>
      <c r="I41" s="8"/>
      <c r="J41" s="8"/>
      <c r="K41" s="8"/>
      <c r="L41" s="8"/>
      <c r="M41" s="8"/>
      <c r="N41" s="8"/>
      <c r="O41" s="8"/>
      <c r="P41" s="8"/>
      <c r="Q41" s="8"/>
      <c r="R41" s="8"/>
      <c r="S41" s="8"/>
      <c r="T41" s="8"/>
      <c r="U41" s="8"/>
      <c r="V41" s="8"/>
      <c r="W41" s="8"/>
      <c r="X41" s="8"/>
      <c r="Y41" s="8"/>
      <c r="Z41" s="8"/>
    </row>
    <row r="42" ht="93.0" customHeight="1">
      <c r="A42" s="22" t="s">
        <v>117</v>
      </c>
      <c r="B42" s="73">
        <v>0.15</v>
      </c>
      <c r="C42" s="22" t="s">
        <v>118</v>
      </c>
      <c r="D42" s="30" t="s">
        <v>119</v>
      </c>
      <c r="E42" s="8"/>
      <c r="F42" s="8"/>
      <c r="G42" s="8"/>
      <c r="H42" s="8"/>
      <c r="I42" s="8"/>
      <c r="J42" s="8"/>
      <c r="K42" s="8"/>
      <c r="L42" s="8"/>
      <c r="M42" s="8"/>
      <c r="N42" s="8"/>
      <c r="O42" s="8"/>
      <c r="P42" s="8"/>
      <c r="Q42" s="8"/>
      <c r="R42" s="8"/>
      <c r="S42" s="8"/>
      <c r="T42" s="8"/>
      <c r="U42" s="8"/>
      <c r="V42" s="8"/>
      <c r="W42" s="8"/>
      <c r="X42" s="8"/>
      <c r="Y42" s="8"/>
      <c r="Z42" s="8"/>
    </row>
    <row r="43" ht="61.5" customHeight="1">
      <c r="A43" s="22" t="s">
        <v>121</v>
      </c>
      <c r="B43" s="31">
        <f>12*20</f>
        <v>240</v>
      </c>
      <c r="C43" s="22" t="s">
        <v>122</v>
      </c>
      <c r="D43" s="30" t="s">
        <v>123</v>
      </c>
      <c r="E43" s="8"/>
      <c r="F43" s="8"/>
      <c r="G43" s="8"/>
      <c r="H43" s="8"/>
      <c r="I43" s="8"/>
      <c r="J43" s="8"/>
      <c r="K43" s="8"/>
      <c r="L43" s="8"/>
      <c r="M43" s="8"/>
      <c r="N43" s="8"/>
      <c r="O43" s="8"/>
      <c r="P43" s="8"/>
      <c r="Q43" s="8"/>
      <c r="R43" s="8"/>
      <c r="S43" s="8"/>
      <c r="T43" s="8"/>
      <c r="U43" s="8"/>
      <c r="V43" s="8"/>
      <c r="W43" s="8"/>
      <c r="X43" s="8"/>
      <c r="Y43" s="8"/>
      <c r="Z43" s="8"/>
    </row>
    <row r="44" ht="61.5" customHeight="1">
      <c r="A44" s="22" t="s">
        <v>124</v>
      </c>
      <c r="B44" s="31">
        <v>30.0</v>
      </c>
      <c r="C44" s="22" t="s">
        <v>122</v>
      </c>
      <c r="D44" s="30" t="s">
        <v>125</v>
      </c>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3" t="s">
        <v>127</v>
      </c>
      <c r="B46" s="4"/>
      <c r="C46" s="4"/>
      <c r="D46" s="6"/>
      <c r="E46" s="8"/>
      <c r="F46" s="8"/>
      <c r="G46" s="8"/>
      <c r="H46" s="8"/>
      <c r="I46" s="8"/>
      <c r="J46" s="8"/>
      <c r="K46" s="8"/>
      <c r="L46" s="8"/>
      <c r="M46" s="8"/>
      <c r="N46" s="8"/>
      <c r="O46" s="8"/>
      <c r="P46" s="8"/>
      <c r="Q46" s="8"/>
      <c r="R46" s="8"/>
      <c r="S46" s="8"/>
      <c r="T46" s="8"/>
      <c r="U46" s="8"/>
      <c r="V46" s="8"/>
      <c r="W46" s="8"/>
      <c r="X46" s="8"/>
      <c r="Y46" s="8"/>
      <c r="Z46" s="8"/>
    </row>
    <row r="47" ht="77.25" customHeight="1">
      <c r="A47" s="84" t="s">
        <v>129</v>
      </c>
      <c r="B47" s="67">
        <v>7.0</v>
      </c>
      <c r="C47" s="84" t="s">
        <v>54</v>
      </c>
      <c r="D47" s="84"/>
      <c r="E47" s="8"/>
      <c r="F47" s="8"/>
      <c r="G47" s="8"/>
      <c r="H47" s="8"/>
      <c r="I47" s="8"/>
      <c r="J47" s="8"/>
      <c r="K47" s="8"/>
      <c r="L47" s="8"/>
      <c r="M47" s="8"/>
      <c r="N47" s="8"/>
      <c r="O47" s="8"/>
      <c r="P47" s="8"/>
      <c r="Q47" s="8"/>
      <c r="R47" s="8"/>
      <c r="S47" s="8"/>
      <c r="T47" s="8"/>
      <c r="U47" s="8"/>
      <c r="V47" s="8"/>
      <c r="W47" s="8"/>
      <c r="X47" s="8"/>
      <c r="Y47" s="8"/>
      <c r="Z47" s="8"/>
    </row>
    <row r="48" ht="77.25" customHeight="1">
      <c r="A48" s="84" t="s">
        <v>130</v>
      </c>
      <c r="B48" s="27">
        <f>('2. Báo cáo Ngân lưu'!I6/'2. Báo cáo Ngân lưu'!C6)^(1/6)-1</f>
        <v>0.2417816514</v>
      </c>
      <c r="C48" s="84" t="s">
        <v>133</v>
      </c>
      <c r="D48" s="86"/>
      <c r="E48" s="8"/>
      <c r="F48" s="8"/>
      <c r="G48" s="8"/>
      <c r="H48" s="8"/>
      <c r="I48" s="8"/>
      <c r="J48" s="8"/>
      <c r="K48" s="8"/>
      <c r="L48" s="8"/>
      <c r="M48" s="8"/>
      <c r="N48" s="8"/>
      <c r="O48" s="8"/>
      <c r="P48" s="8"/>
      <c r="Q48" s="8"/>
      <c r="R48" s="8"/>
      <c r="S48" s="8"/>
      <c r="T48" s="8"/>
      <c r="U48" s="8"/>
      <c r="V48" s="8"/>
      <c r="W48" s="8"/>
      <c r="X48" s="8"/>
      <c r="Y48" s="8"/>
      <c r="Z48" s="8"/>
    </row>
    <row r="49" ht="46.5" customHeight="1">
      <c r="A49" s="86" t="s">
        <v>134</v>
      </c>
      <c r="B49" s="27">
        <f>'2. Báo cáo Ngân lưu'!I55/ABS('2. Báo cáo Ngân lưu'!B55)</f>
        <v>1.866754301</v>
      </c>
      <c r="C49" s="84" t="s">
        <v>135</v>
      </c>
      <c r="D49" s="84"/>
      <c r="E49" s="8"/>
      <c r="F49" s="8"/>
      <c r="G49" s="8"/>
      <c r="H49" s="8"/>
      <c r="I49" s="8"/>
      <c r="J49" s="8"/>
      <c r="K49" s="8"/>
      <c r="L49" s="8"/>
      <c r="M49" s="8"/>
      <c r="N49" s="8"/>
      <c r="O49" s="8"/>
      <c r="P49" s="8"/>
      <c r="Q49" s="8"/>
      <c r="R49" s="8"/>
      <c r="S49" s="8"/>
      <c r="T49" s="8"/>
      <c r="U49" s="8"/>
      <c r="V49" s="8"/>
      <c r="W49" s="8"/>
      <c r="X49" s="8"/>
      <c r="Y49" s="8"/>
      <c r="Z49" s="8"/>
    </row>
    <row r="50">
      <c r="A50" s="84" t="s">
        <v>136</v>
      </c>
      <c r="B50" s="65">
        <v>15.0</v>
      </c>
      <c r="C50" s="84" t="s">
        <v>137</v>
      </c>
      <c r="D50" s="84"/>
      <c r="E50" s="8"/>
      <c r="F50" s="8"/>
      <c r="G50" s="8"/>
      <c r="H50" s="8"/>
      <c r="I50" s="8"/>
      <c r="J50" s="8"/>
      <c r="K50" s="8"/>
      <c r="L50" s="8"/>
      <c r="M50" s="8"/>
      <c r="N50" s="8"/>
      <c r="O50" s="8"/>
      <c r="P50" s="8"/>
      <c r="Q50" s="8"/>
      <c r="R50" s="8"/>
      <c r="S50" s="8"/>
      <c r="T50" s="8"/>
      <c r="U50" s="8"/>
      <c r="V50" s="8"/>
      <c r="W50" s="8"/>
      <c r="X50" s="8"/>
      <c r="Y50" s="8"/>
      <c r="Z50" s="8"/>
    </row>
    <row r="51">
      <c r="A51" s="84" t="s">
        <v>138</v>
      </c>
      <c r="B51" s="65">
        <f>B30*12*5+B9*B31*3</f>
        <v>780</v>
      </c>
      <c r="C51" s="84" t="s">
        <v>137</v>
      </c>
      <c r="D51" s="84"/>
      <c r="E51" s="8"/>
      <c r="F51" s="8"/>
      <c r="G51" s="8"/>
      <c r="H51" s="8"/>
      <c r="I51" s="8"/>
      <c r="J51" s="8"/>
      <c r="K51" s="8"/>
      <c r="L51" s="8"/>
      <c r="M51" s="8"/>
      <c r="N51" s="8"/>
      <c r="O51" s="8"/>
      <c r="P51" s="8"/>
      <c r="Q51" s="8"/>
      <c r="R51" s="8"/>
      <c r="S51" s="8"/>
      <c r="T51" s="8"/>
      <c r="U51" s="8"/>
      <c r="V51" s="8"/>
      <c r="W51" s="8"/>
      <c r="X51" s="8"/>
      <c r="Y51" s="8"/>
      <c r="Z51" s="8"/>
    </row>
    <row r="52" ht="61.5" customHeight="1">
      <c r="A52" s="84" t="s">
        <v>140</v>
      </c>
      <c r="B52" s="27">
        <f>B51/B50</f>
        <v>52</v>
      </c>
      <c r="C52" s="84" t="s">
        <v>135</v>
      </c>
      <c r="D52" s="84"/>
      <c r="E52" s="8"/>
      <c r="F52" s="8"/>
      <c r="G52" s="8"/>
      <c r="H52" s="8"/>
      <c r="I52" s="8"/>
      <c r="J52" s="8"/>
      <c r="K52" s="8"/>
      <c r="L52" s="8"/>
      <c r="M52" s="8"/>
      <c r="N52" s="8"/>
      <c r="O52" s="8"/>
      <c r="P52" s="8"/>
      <c r="Q52" s="8"/>
      <c r="R52" s="8"/>
      <c r="S52" s="8"/>
      <c r="T52" s="8"/>
      <c r="U52" s="8"/>
      <c r="V52" s="8"/>
      <c r="W52" s="8"/>
      <c r="X52" s="8"/>
      <c r="Y52" s="8"/>
      <c r="Z52" s="8"/>
    </row>
    <row r="53" ht="61.5" customHeight="1">
      <c r="A53" s="84" t="s">
        <v>141</v>
      </c>
      <c r="B53" s="65">
        <f>18*B30*12</f>
        <v>2808</v>
      </c>
      <c r="C53" s="84" t="s">
        <v>26</v>
      </c>
      <c r="D53" s="86"/>
      <c r="E53" s="8"/>
      <c r="F53" s="8"/>
      <c r="G53" s="8"/>
      <c r="H53" s="8"/>
      <c r="I53" s="8"/>
      <c r="J53" s="8"/>
      <c r="K53" s="8"/>
      <c r="L53" s="8"/>
      <c r="M53" s="8"/>
      <c r="N53" s="8"/>
      <c r="O53" s="8"/>
      <c r="P53" s="8"/>
      <c r="Q53" s="8"/>
      <c r="R53" s="8"/>
      <c r="S53" s="8"/>
      <c r="T53" s="8"/>
      <c r="U53" s="8"/>
      <c r="V53" s="8"/>
      <c r="W53" s="8"/>
      <c r="X53" s="8"/>
      <c r="Y53" s="8"/>
      <c r="Z53" s="8"/>
    </row>
    <row r="54">
      <c r="A54" s="32"/>
      <c r="B54" s="32"/>
      <c r="C54" s="87"/>
      <c r="D54" s="8"/>
      <c r="E54" s="8"/>
      <c r="F54" s="88" t="s">
        <v>142</v>
      </c>
      <c r="G54" s="89"/>
      <c r="H54" s="89"/>
      <c r="I54" s="8"/>
      <c r="J54" s="8"/>
      <c r="K54" s="8"/>
      <c r="L54" s="8"/>
      <c r="M54" s="8"/>
      <c r="N54" s="8"/>
      <c r="O54" s="8"/>
      <c r="P54" s="8"/>
      <c r="Q54" s="8"/>
      <c r="R54" s="8"/>
      <c r="S54" s="8"/>
      <c r="T54" s="8"/>
      <c r="U54" s="8"/>
      <c r="V54" s="8"/>
      <c r="W54" s="8"/>
      <c r="X54" s="8"/>
      <c r="Y54" s="8"/>
      <c r="Z54" s="8"/>
    </row>
    <row r="55">
      <c r="A55" s="90" t="s">
        <v>143</v>
      </c>
      <c r="B55" s="4"/>
      <c r="C55" s="4"/>
      <c r="D55" s="4"/>
      <c r="E55" s="4"/>
      <c r="F55" s="4"/>
      <c r="G55" s="4"/>
      <c r="H55" s="4"/>
      <c r="I55" s="6"/>
      <c r="J55" s="91"/>
      <c r="K55" s="91"/>
      <c r="L55" s="91"/>
      <c r="M55" s="91"/>
      <c r="N55" s="91"/>
      <c r="O55" s="91"/>
      <c r="P55" s="91"/>
      <c r="Q55" s="91"/>
      <c r="R55" s="91"/>
      <c r="S55" s="91"/>
      <c r="T55" s="91"/>
      <c r="U55" s="91"/>
      <c r="V55" s="91"/>
      <c r="W55" s="91"/>
      <c r="X55" s="91"/>
      <c r="Y55" s="91"/>
      <c r="Z55" s="91"/>
    </row>
    <row r="56" ht="30.0" customHeight="1">
      <c r="A56" s="92" t="s">
        <v>145</v>
      </c>
      <c r="B56" s="93">
        <v>1500.0</v>
      </c>
      <c r="C56" s="92" t="s">
        <v>122</v>
      </c>
      <c r="D56" s="94"/>
      <c r="E56" s="95"/>
      <c r="F56" s="95"/>
      <c r="G56" s="95"/>
      <c r="H56" s="95"/>
      <c r="I56" s="95"/>
      <c r="J56" s="91"/>
      <c r="K56" s="91"/>
      <c r="L56" s="91"/>
      <c r="M56" s="91"/>
      <c r="N56" s="91"/>
      <c r="O56" s="91"/>
      <c r="P56" s="91"/>
      <c r="Q56" s="91"/>
      <c r="R56" s="91"/>
      <c r="S56" s="91"/>
      <c r="T56" s="91"/>
      <c r="U56" s="91"/>
      <c r="V56" s="91"/>
      <c r="W56" s="91"/>
      <c r="X56" s="91"/>
      <c r="Y56" s="91"/>
      <c r="Z56" s="91"/>
    </row>
    <row r="57" ht="15.75" customHeight="1">
      <c r="A57" s="92" t="s">
        <v>13</v>
      </c>
      <c r="B57" s="92" t="s">
        <v>67</v>
      </c>
      <c r="C57" s="92" t="s">
        <v>68</v>
      </c>
      <c r="D57" s="92" t="s">
        <v>69</v>
      </c>
      <c r="E57" s="92" t="s">
        <v>70</v>
      </c>
      <c r="F57" s="92" t="s">
        <v>71</v>
      </c>
      <c r="G57" s="96" t="s">
        <v>73</v>
      </c>
      <c r="H57" s="96" t="s">
        <v>74</v>
      </c>
      <c r="I57" s="97" t="s">
        <v>146</v>
      </c>
      <c r="J57" s="91"/>
      <c r="K57" s="91"/>
      <c r="L57" s="91"/>
      <c r="M57" s="91"/>
      <c r="N57" s="91"/>
      <c r="O57" s="91"/>
      <c r="P57" s="91"/>
      <c r="Q57" s="91"/>
      <c r="R57" s="91"/>
      <c r="S57" s="91"/>
      <c r="T57" s="91"/>
      <c r="U57" s="91"/>
      <c r="V57" s="91"/>
      <c r="W57" s="91"/>
      <c r="X57" s="91"/>
      <c r="Y57" s="91"/>
      <c r="Z57" s="91"/>
    </row>
    <row r="58" ht="15.75" customHeight="1">
      <c r="A58" s="92" t="s">
        <v>147</v>
      </c>
      <c r="B58" s="93">
        <v>0.066666667</v>
      </c>
      <c r="C58" s="93">
        <v>0.085333333</v>
      </c>
      <c r="D58" s="93">
        <v>0.112</v>
      </c>
      <c r="E58" s="93">
        <v>0.146666667</v>
      </c>
      <c r="F58" s="93">
        <v>0.186666667</v>
      </c>
      <c r="G58" s="98">
        <v>0.2</v>
      </c>
      <c r="H58" s="98">
        <v>0.21</v>
      </c>
      <c r="I58" s="99"/>
      <c r="J58" s="91"/>
      <c r="K58" s="91"/>
      <c r="L58" s="91"/>
      <c r="M58" s="91"/>
      <c r="N58" s="91"/>
      <c r="O58" s="91"/>
      <c r="P58" s="91"/>
      <c r="Q58" s="91"/>
      <c r="R58" s="91"/>
      <c r="S58" s="91"/>
      <c r="T58" s="91"/>
      <c r="U58" s="91"/>
      <c r="V58" s="91"/>
      <c r="W58" s="91"/>
      <c r="X58" s="91"/>
      <c r="Y58" s="91"/>
      <c r="Z58" s="91"/>
    </row>
    <row r="59" ht="15.75" customHeight="1">
      <c r="A59" s="92" t="s">
        <v>149</v>
      </c>
      <c r="B59" s="93">
        <v>1.5</v>
      </c>
      <c r="C59" s="92" t="s">
        <v>135</v>
      </c>
      <c r="D59" s="92" t="s">
        <v>150</v>
      </c>
      <c r="E59" s="95"/>
      <c r="F59" s="95"/>
      <c r="G59" s="95"/>
      <c r="H59" s="95"/>
      <c r="I59" s="99"/>
      <c r="J59" s="91"/>
      <c r="K59" s="91"/>
      <c r="L59" s="91"/>
      <c r="M59" s="91"/>
      <c r="N59" s="91"/>
      <c r="O59" s="91"/>
      <c r="P59" s="91"/>
      <c r="Q59" s="91"/>
      <c r="R59" s="91"/>
      <c r="S59" s="91"/>
      <c r="T59" s="91"/>
      <c r="U59" s="91"/>
      <c r="V59" s="91"/>
      <c r="W59" s="91"/>
      <c r="X59" s="91"/>
      <c r="Y59" s="91"/>
      <c r="Z59" s="91"/>
    </row>
    <row r="60" ht="165.75" customHeight="1">
      <c r="A60" s="92" t="s">
        <v>151</v>
      </c>
      <c r="B60" s="93">
        <v>1500.0</v>
      </c>
      <c r="C60" s="92" t="s">
        <v>122</v>
      </c>
      <c r="D60" s="92" t="s">
        <v>152</v>
      </c>
      <c r="E60" s="95"/>
      <c r="F60" s="95"/>
      <c r="G60" s="95"/>
      <c r="H60" s="95"/>
      <c r="I60" s="100"/>
      <c r="J60" s="91"/>
      <c r="K60" s="91"/>
      <c r="L60" s="91"/>
      <c r="M60" s="91"/>
      <c r="N60" s="91"/>
      <c r="O60" s="91"/>
      <c r="P60" s="91"/>
      <c r="Q60" s="91"/>
      <c r="R60" s="91"/>
      <c r="S60" s="91"/>
      <c r="T60" s="91"/>
      <c r="U60" s="91"/>
      <c r="V60" s="91"/>
      <c r="W60" s="91"/>
      <c r="X60" s="91"/>
      <c r="Y60" s="91"/>
      <c r="Z60" s="91"/>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ht="14.2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ht="14.2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ht="14.2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ht="14.2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ht="14.2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ht="14.2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ht="14.2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ht="14.2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ht="14.2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ht="14.2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ht="14.2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ht="14.2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ht="14.2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ht="14.2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ht="14.2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ht="14.2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ht="14.2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ht="14.2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ht="14.2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ht="14.2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ht="14.2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ht="14.2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ht="14.2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ht="14.2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ht="14.2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ht="14.2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ht="14.2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ht="14.2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ht="14.2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ht="14.2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ht="14.2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ht="14.2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ht="14.2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ht="14.2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ht="14.2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ht="14.2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ht="14.2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ht="14.2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ht="14.25"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ht="14.25"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ht="14.25"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ht="14.25"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ht="14.25"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ht="14.2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ht="14.2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ht="14.2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ht="14.2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ht="14.2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ht="14.2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ht="14.2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ht="14.2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ht="14.2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ht="14.2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ht="14.2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ht="14.2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ht="14.2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ht="14.2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ht="14.2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ht="14.2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ht="14.2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ht="14.2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ht="14.2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ht="14.2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ht="14.2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ht="14.2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ht="14.2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ht="14.2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ht="14.2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ht="14.2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ht="14.2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ht="14.2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ht="14.2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ht="14.2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ht="14.2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ht="14.2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ht="14.2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ht="14.2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ht="14.2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ht="14.2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ht="14.2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ht="14.2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ht="14.2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ht="14.2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ht="14.2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ht="14.2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ht="14.2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ht="14.2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ht="14.2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ht="14.2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ht="14.2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ht="14.2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ht="14.2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ht="14.2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ht="14.2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ht="14.2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ht="14.2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ht="14.2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ht="14.2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ht="14.2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ht="14.2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ht="14.2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ht="14.2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ht="14.2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ht="14.2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ht="14.2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ht="14.2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ht="14.2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ht="14.2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ht="14.2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ht="14.2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ht="14.2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ht="14.2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ht="14.2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ht="14.2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ht="14.2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ht="14.2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ht="14.2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ht="14.2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ht="14.2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ht="14.2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ht="14.2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ht="14.2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ht="14.2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ht="14.2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ht="14.2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ht="14.2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ht="14.2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ht="14.2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ht="14.2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ht="14.2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ht="14.2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ht="14.2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ht="14.2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ht="14.2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ht="14.2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ht="14.2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ht="14.2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ht="14.2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ht="14.2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ht="14.2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ht="14.2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ht="14.2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ht="14.2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ht="14.2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ht="14.2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ht="14.2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ht="14.2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ht="14.2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ht="14.2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ht="14.2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ht="14.2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ht="14.2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ht="14.2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ht="14.2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ht="14.2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ht="14.2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ht="14.2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ht="14.2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ht="14.2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ht="14.2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ht="14.2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ht="14.2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ht="14.2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ht="14.2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ht="14.2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ht="14.2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ht="14.2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ht="14.2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ht="14.2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ht="14.2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ht="14.2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ht="14.2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ht="14.2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ht="14.2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ht="14.2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ht="14.2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ht="14.2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ht="14.2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ht="14.2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ht="14.2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ht="14.2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ht="14.2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ht="14.2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ht="14.2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ht="14.2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ht="14.2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ht="14.2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ht="14.2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ht="14.2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ht="14.2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ht="14.2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ht="14.2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ht="14.2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ht="14.2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ht="14.2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ht="14.2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ht="14.2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ht="14.2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ht="14.2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ht="14.25"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ht="14.25"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ht="14.25"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ht="14.25"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ht="14.25"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ht="14.25"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ht="14.25"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ht="14.25"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ht="14.25"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ht="14.25"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ht="14.25"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ht="14.25"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ht="14.25"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ht="14.25"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ht="14.25"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ht="14.25"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ht="14.25"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ht="14.25"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ht="14.25"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ht="14.25"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ht="14.25"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ht="14.25"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ht="14.25"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ht="14.25"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ht="14.25"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ht="14.25"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ht="14.25"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ht="14.25"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ht="14.25"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ht="14.25"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ht="14.25"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ht="14.25"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ht="14.25"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ht="14.25"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ht="14.25"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ht="14.25"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ht="14.25"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ht="14.25"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ht="14.25"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ht="14.25"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ht="14.25"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ht="14.25"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ht="14.25"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ht="14.25"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ht="14.25"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ht="14.25"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ht="14.25"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ht="14.25"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ht="14.25"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ht="14.25"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ht="14.25"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ht="14.25"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ht="14.25"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ht="14.25"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ht="14.25"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ht="14.25"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ht="14.25"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ht="14.25"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ht="14.25"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ht="14.25"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ht="14.25"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ht="14.25"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ht="14.25"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ht="14.25"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ht="14.25"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ht="14.25"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ht="14.25"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ht="14.25"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ht="14.25"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ht="14.25"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ht="14.25"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ht="14.25"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ht="14.25"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ht="14.25"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ht="14.25"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ht="14.25"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ht="14.25"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ht="14.25"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ht="14.25"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ht="14.25"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ht="14.25"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ht="14.25"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ht="14.25"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ht="14.25"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ht="14.25"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ht="14.25"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ht="14.25"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ht="14.25"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ht="14.25"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ht="14.25"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ht="14.25"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ht="14.25"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ht="14.25"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ht="14.25"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ht="14.25"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ht="14.25"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ht="14.25"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ht="14.25"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ht="14.25"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ht="14.25"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ht="14.25"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ht="14.25"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ht="14.25"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ht="14.25"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ht="14.25"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ht="14.25"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ht="14.25"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ht="14.25"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ht="14.25"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ht="14.25"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ht="14.25"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ht="14.25"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ht="14.25"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ht="14.25"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ht="14.25"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ht="14.25"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ht="14.25"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ht="14.25"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ht="14.25"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ht="14.25"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ht="14.25"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ht="14.25"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ht="14.25"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ht="14.25"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ht="14.25"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ht="14.25"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ht="14.25"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ht="14.25"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ht="14.25"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ht="14.25"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ht="14.25"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ht="14.25"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ht="14.25"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ht="14.25"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ht="14.25"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ht="14.25"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ht="14.25"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ht="14.25"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ht="14.25"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ht="14.25"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ht="14.25"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ht="14.25"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ht="14.25"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ht="14.25"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ht="14.25"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ht="14.25"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ht="14.25"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ht="14.25"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ht="14.25"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ht="14.25"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ht="14.25"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ht="14.25"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ht="14.25"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ht="14.25"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ht="14.25"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ht="14.25"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ht="14.25"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ht="14.25"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ht="14.25"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ht="14.25"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ht="14.25"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ht="14.25"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ht="14.25"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ht="14.25"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ht="14.25"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ht="14.25"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ht="14.25"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ht="14.25"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ht="14.25"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ht="14.25"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ht="14.25"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ht="14.25"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ht="14.25"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ht="14.25"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ht="14.25"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ht="14.25"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ht="14.25"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ht="14.25"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ht="14.25"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ht="14.25"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ht="14.25"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ht="14.25"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ht="14.25"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ht="14.25"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ht="14.25"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ht="14.25"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ht="14.25"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ht="14.25"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ht="14.25"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ht="14.25"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ht="14.25"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ht="14.25"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ht="14.25"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ht="14.25"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ht="14.25"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ht="14.25"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ht="14.25"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ht="14.25"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ht="14.25"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ht="14.25"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ht="14.25"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ht="14.25"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ht="14.25"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ht="14.25"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ht="14.25"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ht="14.25"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ht="14.25"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ht="14.25"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ht="14.25"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ht="14.25"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ht="14.25"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ht="14.25"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ht="14.25"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ht="14.25"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ht="14.25"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ht="14.25"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ht="14.25"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ht="14.25"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ht="14.25"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ht="14.25"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ht="14.25"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ht="14.25"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ht="14.25"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ht="14.25"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ht="14.25"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ht="14.25"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ht="14.25"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ht="14.25"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ht="14.25"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ht="14.25"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ht="14.25"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ht="14.25"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ht="14.25"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ht="14.25"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ht="14.25"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ht="14.25"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ht="14.25"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ht="14.25"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ht="14.25"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ht="14.25"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ht="14.25"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ht="14.25"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ht="14.25"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ht="14.25"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ht="14.25"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ht="14.25"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ht="14.25"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ht="14.25"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ht="14.25"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ht="14.25"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ht="14.25"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ht="14.25"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ht="14.25"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ht="14.25"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ht="14.25"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ht="14.25"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ht="14.25"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ht="14.25"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ht="14.25"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ht="14.25"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ht="14.25"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ht="14.25"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ht="14.25"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ht="14.25"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ht="14.25"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ht="14.25"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ht="14.25"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ht="14.25"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ht="14.25"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ht="14.25"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ht="14.25"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ht="14.25"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ht="14.25"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ht="14.25"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ht="14.25"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ht="14.25"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ht="14.25"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ht="14.25"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ht="14.25"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ht="14.25"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ht="14.25"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ht="14.25"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ht="14.25"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ht="14.25"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ht="14.25"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ht="14.25"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ht="14.25"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ht="14.25"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ht="14.25"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ht="14.25"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ht="14.25"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ht="14.25"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ht="14.25"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ht="14.25"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ht="14.25"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ht="14.25"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ht="14.25"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ht="14.25"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ht="14.25"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ht="14.25"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ht="14.25"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ht="14.25"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ht="14.25"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ht="14.25"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ht="14.25"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ht="14.25"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ht="14.25"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ht="14.25"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ht="14.25"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ht="14.25"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ht="14.25"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ht="14.25"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ht="14.25"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ht="14.25"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ht="14.25"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ht="14.25"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ht="14.25"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ht="14.25"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ht="14.25"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ht="14.25"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ht="14.25"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ht="14.25"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ht="14.25"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ht="14.25"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ht="14.25"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ht="14.25"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ht="14.25"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ht="14.25"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ht="14.25"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ht="14.25"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ht="14.25"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ht="14.25"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ht="14.25"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ht="14.25"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ht="14.25"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ht="14.25"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ht="14.25"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ht="14.25"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ht="14.25"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ht="14.25"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ht="14.25"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ht="14.25"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ht="14.25"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ht="14.25"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ht="14.25"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ht="14.25"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ht="14.25"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ht="14.25"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ht="14.25"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ht="14.25"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ht="14.25"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ht="14.25"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ht="14.25"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ht="14.25"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ht="14.25"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ht="14.25"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ht="14.25"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ht="14.25"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ht="14.25"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ht="14.25"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ht="14.25"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ht="14.25"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ht="14.25"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ht="14.25"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ht="14.25"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ht="14.25"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ht="14.25"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ht="14.25"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ht="14.25"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ht="14.25"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ht="14.25"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ht="14.25"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ht="14.25"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ht="14.25"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ht="14.25"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ht="14.25"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ht="14.25"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ht="14.25"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ht="14.25"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ht="14.25"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ht="14.25"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ht="14.25"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ht="14.25"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ht="14.25"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ht="14.25"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ht="14.25"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ht="14.25"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ht="14.25"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ht="14.25"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ht="14.25"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ht="14.25"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ht="14.25"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ht="14.25"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ht="14.25"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ht="14.25"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ht="14.25"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ht="14.25"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ht="14.25"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ht="14.25"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ht="14.25"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ht="14.25"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ht="14.25"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ht="14.25"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ht="14.25"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ht="14.25"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ht="14.25"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ht="14.25"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ht="14.25"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ht="14.25"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ht="14.25"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ht="14.25"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ht="14.25"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ht="14.25"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ht="14.25"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ht="14.25"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ht="14.25"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ht="14.25"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ht="14.25"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ht="14.25"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ht="14.25"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ht="14.25"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ht="14.25"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ht="14.25"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ht="14.25"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ht="14.25"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ht="14.25"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ht="14.25"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ht="14.25"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ht="14.25"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ht="14.25"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ht="14.25"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ht="14.25"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ht="14.25"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ht="14.25"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ht="14.25"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ht="14.25"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ht="14.25"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ht="14.25"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ht="14.25"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ht="14.25"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ht="14.25"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ht="14.25"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ht="14.25"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ht="14.25"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ht="14.25"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ht="14.25"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ht="14.25"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ht="14.25"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ht="14.25"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ht="14.25"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ht="14.25"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ht="14.25"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ht="14.25"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ht="14.25"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ht="14.25"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ht="14.25"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ht="14.25"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ht="14.25"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ht="14.25"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ht="14.25"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ht="14.25"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ht="14.25"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ht="14.25"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ht="14.25"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ht="14.25"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ht="14.25"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ht="14.25"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ht="14.25"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ht="14.25"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ht="14.25"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ht="14.25"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ht="14.25"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ht="14.25"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ht="14.25"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ht="14.25"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ht="14.25"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ht="14.25"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ht="14.25"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ht="14.25"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ht="14.25"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ht="14.25"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ht="14.25"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ht="14.25"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ht="14.25"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ht="14.25"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ht="14.25"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ht="14.25"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ht="14.25"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ht="14.25"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ht="14.25"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ht="14.25"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ht="14.25"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ht="14.25"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ht="14.25"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ht="14.25"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ht="14.25"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ht="14.25"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ht="14.25"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ht="14.25"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ht="14.25"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ht="14.25"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ht="14.25"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ht="14.25"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ht="14.25"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ht="14.25"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ht="14.25"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ht="14.25"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ht="14.25"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ht="14.25"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ht="14.25"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ht="14.25"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ht="14.25"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ht="14.25"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ht="14.25"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ht="14.25"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ht="14.25"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ht="14.25"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ht="14.25"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ht="14.25"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ht="14.25"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ht="14.25"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ht="14.25"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ht="14.25"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ht="14.25"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ht="14.25"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ht="14.25"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ht="14.25"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ht="14.25"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ht="14.25"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ht="14.25"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ht="14.25"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ht="14.25"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ht="14.25"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ht="14.25"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ht="14.25"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ht="14.25"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ht="14.25"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ht="14.25"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ht="14.25" customHeight="1">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ht="14.25" customHeight="1">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ht="14.25" customHeight="1">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ht="14.25" customHeight="1">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ht="14.25" customHeight="1">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ht="14.25" customHeight="1">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ht="14.25" customHeight="1">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ht="14.25" customHeight="1">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ht="14.25" customHeight="1">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mergeCells count="10">
    <mergeCell ref="A46:D46"/>
    <mergeCell ref="A55:I55"/>
    <mergeCell ref="I57:I60"/>
    <mergeCell ref="A1:D1"/>
    <mergeCell ref="A3:D3"/>
    <mergeCell ref="A9:D9"/>
    <mergeCell ref="A19:I19"/>
    <mergeCell ref="A28:D28"/>
    <mergeCell ref="A34:D34"/>
    <mergeCell ref="A38:D38"/>
  </mergeCells>
  <hyperlinks>
    <hyperlink r:id="rId1" ref="F54"/>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9.86"/>
    <col customWidth="1" min="2" max="9" width="16.0"/>
    <col customWidth="1" min="10" max="26" width="8.57"/>
  </cols>
  <sheetData>
    <row r="1" ht="38.25" customHeight="1">
      <c r="A1" s="7" t="s">
        <v>2</v>
      </c>
      <c r="B1" s="11"/>
      <c r="C1" s="11"/>
      <c r="D1" s="11"/>
      <c r="E1" s="11"/>
      <c r="F1" s="11"/>
      <c r="G1" s="11"/>
      <c r="H1" s="11"/>
      <c r="I1" s="12"/>
      <c r="J1" s="10"/>
      <c r="K1" s="10"/>
      <c r="L1" s="10"/>
      <c r="M1" s="10"/>
      <c r="N1" s="10"/>
      <c r="O1" s="10"/>
      <c r="P1" s="10"/>
      <c r="Q1" s="10"/>
      <c r="R1" s="10"/>
      <c r="S1" s="10"/>
      <c r="T1" s="10"/>
      <c r="U1" s="10"/>
      <c r="V1" s="10"/>
      <c r="W1" s="10"/>
      <c r="X1" s="10"/>
      <c r="Y1" s="10"/>
      <c r="Z1" s="10"/>
    </row>
    <row r="2" ht="15.0" customHeight="1">
      <c r="A2" s="16"/>
      <c r="H2" s="10"/>
      <c r="I2" s="10"/>
      <c r="J2" s="10"/>
      <c r="K2" s="10"/>
      <c r="L2" s="10"/>
      <c r="M2" s="10"/>
      <c r="N2" s="10"/>
      <c r="O2" s="10"/>
      <c r="P2" s="10"/>
      <c r="Q2" s="10"/>
      <c r="R2" s="10"/>
      <c r="S2" s="10"/>
      <c r="T2" s="10"/>
      <c r="U2" s="10"/>
      <c r="V2" s="10"/>
      <c r="W2" s="10"/>
      <c r="X2" s="10"/>
      <c r="Y2" s="10"/>
      <c r="Z2" s="10"/>
    </row>
    <row r="3" ht="30.0" customHeight="1">
      <c r="A3" s="9" t="s">
        <v>4</v>
      </c>
      <c r="B3" s="9" t="s">
        <v>5</v>
      </c>
      <c r="C3" s="9" t="s">
        <v>6</v>
      </c>
      <c r="D3" s="9" t="s">
        <v>7</v>
      </c>
      <c r="E3" s="9" t="s">
        <v>8</v>
      </c>
      <c r="F3" s="9" t="s">
        <v>9</v>
      </c>
      <c r="G3" s="9" t="s">
        <v>10</v>
      </c>
      <c r="H3" s="9" t="s">
        <v>11</v>
      </c>
      <c r="I3" s="9" t="s">
        <v>12</v>
      </c>
      <c r="J3" s="10"/>
      <c r="K3" s="10"/>
      <c r="L3" s="10"/>
      <c r="M3" s="10"/>
      <c r="N3" s="10"/>
      <c r="O3" s="10"/>
      <c r="P3" s="10"/>
      <c r="Q3" s="10"/>
      <c r="R3" s="10"/>
      <c r="S3" s="10"/>
      <c r="T3" s="10"/>
      <c r="U3" s="10"/>
      <c r="V3" s="10"/>
      <c r="W3" s="10"/>
      <c r="X3" s="10"/>
      <c r="Y3" s="10"/>
      <c r="Z3" s="10"/>
    </row>
    <row r="4" ht="15.0" customHeight="1">
      <c r="A4" s="19" t="s">
        <v>22</v>
      </c>
      <c r="B4" s="20"/>
      <c r="C4" s="20"/>
      <c r="D4" s="20"/>
      <c r="E4" s="20"/>
      <c r="F4" s="20"/>
      <c r="G4" s="20"/>
      <c r="H4" s="20"/>
      <c r="I4" s="21"/>
      <c r="J4" s="10"/>
      <c r="K4" s="10"/>
      <c r="L4" s="10"/>
      <c r="M4" s="10"/>
      <c r="N4" s="10"/>
      <c r="O4" s="10"/>
      <c r="P4" s="10"/>
      <c r="Q4" s="10"/>
      <c r="R4" s="10"/>
      <c r="S4" s="10"/>
      <c r="T4" s="10"/>
      <c r="U4" s="10"/>
      <c r="V4" s="10"/>
      <c r="W4" s="10"/>
      <c r="X4" s="10"/>
      <c r="Y4" s="10"/>
      <c r="Z4" s="10"/>
    </row>
    <row r="5" ht="30.75" customHeight="1">
      <c r="A5" s="25" t="s">
        <v>24</v>
      </c>
      <c r="B5" s="26" t="s">
        <v>18</v>
      </c>
      <c r="C5" s="28">
        <f t="shared" ref="C5:I5" si="1">C6*C7*12</f>
        <v>2340</v>
      </c>
      <c r="D5" s="28">
        <f t="shared" si="1"/>
        <v>3120</v>
      </c>
      <c r="E5" s="28">
        <f t="shared" si="1"/>
        <v>4680</v>
      </c>
      <c r="F5" s="28">
        <f t="shared" si="1"/>
        <v>6240</v>
      </c>
      <c r="G5" s="28">
        <f t="shared" si="1"/>
        <v>7020</v>
      </c>
      <c r="H5" s="28">
        <f t="shared" si="1"/>
        <v>7800</v>
      </c>
      <c r="I5" s="28">
        <f t="shared" si="1"/>
        <v>8580</v>
      </c>
      <c r="J5" s="10"/>
      <c r="K5" s="10"/>
      <c r="L5" s="10"/>
      <c r="M5" s="10"/>
      <c r="N5" s="10"/>
      <c r="O5" s="10"/>
      <c r="P5" s="10"/>
      <c r="Q5" s="10"/>
      <c r="R5" s="10"/>
      <c r="S5" s="10"/>
      <c r="T5" s="10"/>
      <c r="U5" s="10"/>
      <c r="V5" s="10"/>
      <c r="W5" s="10"/>
      <c r="X5" s="10"/>
      <c r="Y5" s="10"/>
      <c r="Z5" s="10"/>
    </row>
    <row r="6" ht="15.0" customHeight="1">
      <c r="A6" s="33" t="s">
        <v>31</v>
      </c>
      <c r="B6" s="34" t="s">
        <v>18</v>
      </c>
      <c r="C6" s="36">
        <v>15.0</v>
      </c>
      <c r="D6" s="36">
        <v>20.0</v>
      </c>
      <c r="E6" s="36">
        <v>30.0</v>
      </c>
      <c r="F6" s="36">
        <v>40.0</v>
      </c>
      <c r="G6" s="36">
        <v>45.0</v>
      </c>
      <c r="H6" s="36">
        <v>50.0</v>
      </c>
      <c r="I6" s="36">
        <v>55.0</v>
      </c>
      <c r="J6" s="10"/>
      <c r="K6" s="10"/>
      <c r="L6" s="10"/>
      <c r="M6" s="10"/>
      <c r="N6" s="10"/>
      <c r="O6" s="10"/>
      <c r="P6" s="10"/>
      <c r="Q6" s="10"/>
      <c r="R6" s="10"/>
      <c r="S6" s="10"/>
      <c r="T6" s="10"/>
      <c r="U6" s="10"/>
      <c r="V6" s="10"/>
      <c r="W6" s="10"/>
      <c r="X6" s="10"/>
      <c r="Y6" s="10"/>
      <c r="Z6" s="10"/>
    </row>
    <row r="7" ht="15.0" customHeight="1">
      <c r="A7" s="33" t="s">
        <v>34</v>
      </c>
      <c r="B7" s="34" t="s">
        <v>18</v>
      </c>
      <c r="C7" s="37">
        <f>'1. Giả định &amp; Thông số'!$B$30</f>
        <v>13</v>
      </c>
      <c r="D7" s="37">
        <f>'1. Giả định &amp; Thông số'!$B$30</f>
        <v>13</v>
      </c>
      <c r="E7" s="37">
        <f>'1. Giả định &amp; Thông số'!$B$30</f>
        <v>13</v>
      </c>
      <c r="F7" s="37">
        <f>'1. Giả định &amp; Thông số'!$B$30</f>
        <v>13</v>
      </c>
      <c r="G7" s="37">
        <f>'1. Giả định &amp; Thông số'!$B$30</f>
        <v>13</v>
      </c>
      <c r="H7" s="37">
        <f>'1. Giả định &amp; Thông số'!$B$30</f>
        <v>13</v>
      </c>
      <c r="I7" s="37">
        <f>'1. Giả định &amp; Thông số'!$B$30</f>
        <v>13</v>
      </c>
      <c r="J7" s="10"/>
      <c r="K7" s="10"/>
      <c r="L7" s="10"/>
      <c r="M7" s="10"/>
      <c r="N7" s="10"/>
      <c r="O7" s="10"/>
      <c r="P7" s="10"/>
      <c r="Q7" s="10"/>
      <c r="R7" s="10"/>
      <c r="S7" s="10"/>
      <c r="T7" s="10"/>
      <c r="U7" s="10"/>
      <c r="V7" s="10"/>
      <c r="W7" s="10"/>
      <c r="X7" s="10"/>
      <c r="Y7" s="10"/>
      <c r="Z7" s="10"/>
    </row>
    <row r="8" ht="30.75" customHeight="1">
      <c r="A8" s="25" t="s">
        <v>40</v>
      </c>
      <c r="B8" s="26" t="s">
        <v>18</v>
      </c>
      <c r="C8" s="28"/>
      <c r="D8" s="28"/>
      <c r="E8" s="28"/>
      <c r="F8" s="28"/>
      <c r="G8" s="28"/>
      <c r="H8" s="28"/>
      <c r="I8" s="28"/>
      <c r="J8" s="41" t="s">
        <v>42</v>
      </c>
      <c r="K8" s="10"/>
      <c r="L8" s="10"/>
      <c r="M8" s="10"/>
      <c r="N8" s="10"/>
      <c r="O8" s="10"/>
      <c r="P8" s="10"/>
      <c r="Q8" s="10"/>
      <c r="R8" s="10"/>
      <c r="S8" s="10"/>
      <c r="T8" s="10"/>
      <c r="U8" s="10"/>
      <c r="V8" s="10"/>
      <c r="W8" s="10"/>
      <c r="X8" s="10"/>
      <c r="Y8" s="10"/>
      <c r="Z8" s="10"/>
    </row>
    <row r="9" ht="15.0" customHeight="1">
      <c r="A9" s="33" t="s">
        <v>44</v>
      </c>
      <c r="B9" s="34" t="s">
        <v>18</v>
      </c>
      <c r="C9" s="43"/>
      <c r="D9" s="43"/>
      <c r="E9" s="43"/>
      <c r="F9" s="43"/>
      <c r="G9" s="43"/>
      <c r="H9" s="43"/>
      <c r="I9" s="43"/>
      <c r="J9" s="41" t="s">
        <v>42</v>
      </c>
      <c r="K9" s="10"/>
      <c r="L9" s="10"/>
      <c r="M9" s="10"/>
      <c r="N9" s="10"/>
      <c r="O9" s="10"/>
      <c r="P9" s="10"/>
      <c r="Q9" s="10"/>
      <c r="R9" s="10"/>
      <c r="S9" s="10"/>
      <c r="T9" s="10"/>
      <c r="U9" s="10"/>
      <c r="V9" s="10"/>
      <c r="W9" s="10"/>
      <c r="X9" s="10"/>
      <c r="Y9" s="10"/>
      <c r="Z9" s="10"/>
    </row>
    <row r="10" ht="15.0" customHeight="1">
      <c r="A10" s="33" t="s">
        <v>47</v>
      </c>
      <c r="B10" s="34" t="s">
        <v>18</v>
      </c>
      <c r="C10" s="46"/>
      <c r="D10" s="46"/>
      <c r="E10" s="46"/>
      <c r="F10" s="46"/>
      <c r="G10" s="46"/>
      <c r="H10" s="46"/>
      <c r="I10" s="46"/>
      <c r="J10" s="41" t="s">
        <v>42</v>
      </c>
      <c r="K10" s="10"/>
      <c r="L10" s="10"/>
      <c r="M10" s="10"/>
      <c r="N10" s="10"/>
      <c r="O10" s="10"/>
      <c r="P10" s="10"/>
      <c r="Q10" s="10"/>
      <c r="R10" s="10"/>
      <c r="S10" s="10"/>
      <c r="T10" s="10"/>
      <c r="U10" s="10"/>
      <c r="V10" s="10"/>
      <c r="W10" s="10"/>
      <c r="X10" s="10"/>
      <c r="Y10" s="10"/>
      <c r="Z10" s="10"/>
    </row>
    <row r="11" ht="30.75" customHeight="1">
      <c r="A11" s="25" t="s">
        <v>49</v>
      </c>
      <c r="B11" s="26" t="s">
        <v>18</v>
      </c>
      <c r="C11" s="48">
        <f t="shared" ref="C11:I11" si="2">C12*5%+C13*6%</f>
        <v>210.0000011</v>
      </c>
      <c r="D11" s="48">
        <f t="shared" si="2"/>
        <v>358.3999986</v>
      </c>
      <c r="E11" s="48">
        <f t="shared" si="2"/>
        <v>705.6</v>
      </c>
      <c r="F11" s="48">
        <f t="shared" si="2"/>
        <v>1232.000003</v>
      </c>
      <c r="G11" s="48">
        <f t="shared" si="2"/>
        <v>1764.000003</v>
      </c>
      <c r="H11" s="48">
        <f t="shared" si="2"/>
        <v>2100</v>
      </c>
      <c r="I11" s="48">
        <f t="shared" si="2"/>
        <v>2425.5</v>
      </c>
      <c r="J11" s="10"/>
      <c r="K11" s="10"/>
      <c r="L11" s="10"/>
      <c r="M11" s="10"/>
      <c r="N11" s="10"/>
      <c r="O11" s="10"/>
      <c r="P11" s="10"/>
      <c r="Q11" s="10"/>
      <c r="R11" s="10"/>
      <c r="S11" s="10"/>
      <c r="T11" s="10"/>
      <c r="U11" s="10"/>
      <c r="V11" s="10"/>
      <c r="W11" s="10"/>
      <c r="X11" s="10"/>
      <c r="Y11" s="10"/>
      <c r="Z11" s="10"/>
    </row>
    <row r="12" ht="15.0" customHeight="1">
      <c r="A12" s="53" t="s">
        <v>56</v>
      </c>
      <c r="B12" s="34" t="s">
        <v>18</v>
      </c>
      <c r="C12" s="54">
        <f>'1. Giả định &amp; Thông số'!$B$56*C6*'1. Giả định &amp; Thông số'!B58</f>
        <v>1500.000008</v>
      </c>
      <c r="D12" s="54">
        <f>'1. Giả định &amp; Thông số'!$B$56*D6*'1. Giả định &amp; Thông số'!C58</f>
        <v>2559.99999</v>
      </c>
      <c r="E12" s="54">
        <f>'1. Giả định &amp; Thông số'!$B$56*E6*'1. Giả định &amp; Thông số'!D58</f>
        <v>5040</v>
      </c>
      <c r="F12" s="54">
        <f>'1. Giả định &amp; Thông số'!$B$56*F6*'1. Giả định &amp; Thông số'!E58</f>
        <v>8800.00002</v>
      </c>
      <c r="G12" s="54">
        <f>'1. Giả định &amp; Thông số'!$B$56*G6*'1. Giả định &amp; Thông số'!F58</f>
        <v>12600.00002</v>
      </c>
      <c r="H12" s="54">
        <f>'1. Giả định &amp; Thông số'!$B$56*H6*'1. Giả định &amp; Thông số'!G58</f>
        <v>15000</v>
      </c>
      <c r="I12" s="54">
        <f>'1. Giả định &amp; Thông số'!$B$56*I6*'1. Giả định &amp; Thông số'!H58</f>
        <v>17325</v>
      </c>
      <c r="J12" s="10"/>
      <c r="K12" s="10"/>
      <c r="L12" s="10"/>
      <c r="M12" s="10"/>
      <c r="N12" s="10"/>
      <c r="O12" s="10"/>
      <c r="P12" s="10"/>
      <c r="Q12" s="10"/>
      <c r="R12" s="10"/>
      <c r="S12" s="10"/>
      <c r="T12" s="10"/>
      <c r="U12" s="10"/>
      <c r="V12" s="10"/>
      <c r="W12" s="10"/>
      <c r="X12" s="10"/>
      <c r="Y12" s="10"/>
      <c r="Z12" s="10"/>
    </row>
    <row r="13" ht="15.0" customHeight="1">
      <c r="A13" s="53" t="s">
        <v>72</v>
      </c>
      <c r="B13" s="34" t="s">
        <v>18</v>
      </c>
      <c r="C13" s="54">
        <f>C12*'1. Giả định &amp; Thông số'!$B$59</f>
        <v>2250.000011</v>
      </c>
      <c r="D13" s="54">
        <f>D12*'1. Giả định &amp; Thông số'!$B$59</f>
        <v>3839.999985</v>
      </c>
      <c r="E13" s="54">
        <f>E12*'1. Giả định &amp; Thông số'!$B$59</f>
        <v>7560</v>
      </c>
      <c r="F13" s="54">
        <f>F12*'1. Giả định &amp; Thông số'!$B$59</f>
        <v>13200.00003</v>
      </c>
      <c r="G13" s="54">
        <f>G12*'1. Giả định &amp; Thông số'!$B$59</f>
        <v>18900.00003</v>
      </c>
      <c r="H13" s="54">
        <f>H12*'1. Giả định &amp; Thông số'!$B$59</f>
        <v>22500</v>
      </c>
      <c r="I13" s="54">
        <f>I12*'1. Giả định &amp; Thông số'!$B$59</f>
        <v>25987.5</v>
      </c>
      <c r="J13" s="10"/>
      <c r="K13" s="10"/>
      <c r="L13" s="10"/>
      <c r="M13" s="10"/>
      <c r="N13" s="10"/>
      <c r="O13" s="10"/>
      <c r="P13" s="10"/>
      <c r="Q13" s="10"/>
      <c r="R13" s="10"/>
      <c r="S13" s="10"/>
      <c r="T13" s="10"/>
      <c r="U13" s="10"/>
      <c r="V13" s="10"/>
      <c r="W13" s="10"/>
      <c r="X13" s="10"/>
      <c r="Y13" s="10"/>
      <c r="Z13" s="10"/>
    </row>
    <row r="14" ht="30.75" customHeight="1">
      <c r="A14" s="25" t="s">
        <v>80</v>
      </c>
      <c r="B14" s="26">
        <v>0.0</v>
      </c>
      <c r="C14" s="70">
        <v>0.0</v>
      </c>
      <c r="D14" s="70">
        <v>0.0</v>
      </c>
      <c r="E14" s="70">
        <v>0.0</v>
      </c>
      <c r="F14" s="70">
        <v>0.0</v>
      </c>
      <c r="G14" s="48">
        <f>'1. Giả định &amp; Thông số'!$B$35*(G5+G8+G11)
</f>
        <v>878.4000003</v>
      </c>
      <c r="H14" s="48">
        <f>'1. Giả định &amp; Thông số'!$B$35*(H5+H8+H11)
</f>
        <v>990</v>
      </c>
      <c r="I14" s="48">
        <f>'1. Giả định &amp; Thông số'!$B$35*(I5+I8+I11)
</f>
        <v>1100.55</v>
      </c>
      <c r="J14" s="10"/>
      <c r="K14" s="10"/>
      <c r="L14" s="10"/>
      <c r="M14" s="10"/>
      <c r="N14" s="10"/>
      <c r="O14" s="10"/>
      <c r="P14" s="10"/>
      <c r="Q14" s="10"/>
      <c r="R14" s="10"/>
      <c r="S14" s="10"/>
      <c r="T14" s="10"/>
      <c r="U14" s="10"/>
      <c r="V14" s="10"/>
      <c r="W14" s="10"/>
      <c r="X14" s="10"/>
      <c r="Y14" s="10"/>
      <c r="Z14" s="10"/>
    </row>
    <row r="15" ht="15.0" customHeight="1">
      <c r="A15" s="14" t="s">
        <v>87</v>
      </c>
      <c r="B15" s="15">
        <v>0.0</v>
      </c>
      <c r="C15" s="75">
        <f t="shared" ref="C15:I15" si="3">C5+C8+C11+IF(ISNUMBER(C14),C14,0)</f>
        <v>2550.000001</v>
      </c>
      <c r="D15" s="75">
        <f t="shared" si="3"/>
        <v>3478.399999</v>
      </c>
      <c r="E15" s="75">
        <f t="shared" si="3"/>
        <v>5385.6</v>
      </c>
      <c r="F15" s="75">
        <f t="shared" si="3"/>
        <v>7472.000003</v>
      </c>
      <c r="G15" s="75">
        <f t="shared" si="3"/>
        <v>9662.400003</v>
      </c>
      <c r="H15" s="75">
        <f t="shared" si="3"/>
        <v>10890</v>
      </c>
      <c r="I15" s="75">
        <f t="shared" si="3"/>
        <v>12106.05</v>
      </c>
      <c r="J15" s="10"/>
      <c r="K15" s="10"/>
      <c r="L15" s="10"/>
      <c r="M15" s="10"/>
      <c r="N15" s="10"/>
      <c r="O15" s="10"/>
      <c r="P15" s="10"/>
      <c r="Q15" s="10"/>
      <c r="R15" s="10"/>
      <c r="S15" s="10"/>
      <c r="T15" s="10"/>
      <c r="U15" s="10"/>
      <c r="V15" s="10"/>
      <c r="W15" s="10"/>
      <c r="X15" s="10"/>
      <c r="Y15" s="10"/>
      <c r="Z15" s="10"/>
    </row>
    <row r="16" ht="15.0"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0" customHeight="1">
      <c r="A17" s="80" t="s">
        <v>99</v>
      </c>
      <c r="B17" s="3"/>
      <c r="C17" s="3"/>
      <c r="D17" s="3"/>
      <c r="E17" s="3"/>
      <c r="F17" s="3"/>
      <c r="G17" s="3"/>
      <c r="H17" s="3"/>
      <c r="I17" s="5"/>
      <c r="J17" s="10"/>
      <c r="K17" s="10"/>
      <c r="L17" s="10"/>
      <c r="M17" s="10"/>
      <c r="N17" s="10"/>
      <c r="O17" s="10"/>
      <c r="P17" s="10"/>
      <c r="Q17" s="10"/>
      <c r="R17" s="10"/>
      <c r="S17" s="10"/>
      <c r="T17" s="10"/>
      <c r="U17" s="10"/>
      <c r="V17" s="10"/>
      <c r="W17" s="10"/>
      <c r="X17" s="10"/>
      <c r="Y17" s="10"/>
      <c r="Z17" s="10"/>
    </row>
    <row r="18" ht="15.0" customHeight="1">
      <c r="A18" s="42" t="s">
        <v>106</v>
      </c>
      <c r="B18" s="72">
        <f>'1. Giả định &amp; Thông số'!B8</f>
        <v>3154</v>
      </c>
      <c r="C18" s="44" t="s">
        <v>18</v>
      </c>
      <c r="D18" s="44" t="s">
        <v>18</v>
      </c>
      <c r="E18" s="44" t="s">
        <v>18</v>
      </c>
      <c r="F18" s="44" t="s">
        <v>18</v>
      </c>
      <c r="G18" s="44" t="s">
        <v>18</v>
      </c>
      <c r="H18" s="44" t="s">
        <v>18</v>
      </c>
      <c r="I18" s="44" t="s">
        <v>18</v>
      </c>
      <c r="J18" s="10"/>
      <c r="K18" s="10"/>
      <c r="L18" s="10"/>
      <c r="M18" s="10"/>
      <c r="N18" s="10"/>
      <c r="O18" s="10"/>
      <c r="P18" s="10"/>
      <c r="Q18" s="10"/>
      <c r="R18" s="10"/>
      <c r="S18" s="10"/>
      <c r="T18" s="10"/>
      <c r="U18" s="10"/>
      <c r="V18" s="10"/>
      <c r="W18" s="10"/>
      <c r="X18" s="10"/>
      <c r="Y18" s="10"/>
      <c r="Z18" s="10"/>
    </row>
    <row r="19" ht="15.0" customHeight="1">
      <c r="A19" s="33" t="s">
        <v>112</v>
      </c>
      <c r="B19" s="37">
        <f>'1. Giả định &amp; Thông số'!$B$4</f>
        <v>10</v>
      </c>
      <c r="C19" s="34" t="s">
        <v>18</v>
      </c>
      <c r="D19" s="34" t="s">
        <v>18</v>
      </c>
      <c r="E19" s="34" t="s">
        <v>18</v>
      </c>
      <c r="F19" s="34" t="s">
        <v>18</v>
      </c>
      <c r="G19" s="34" t="s">
        <v>18</v>
      </c>
      <c r="H19" s="34" t="s">
        <v>18</v>
      </c>
      <c r="I19" s="34" t="s">
        <v>18</v>
      </c>
      <c r="J19" s="10"/>
      <c r="K19" s="10"/>
      <c r="L19" s="10"/>
      <c r="M19" s="10"/>
      <c r="N19" s="10"/>
      <c r="O19" s="10"/>
      <c r="P19" s="10"/>
      <c r="Q19" s="10"/>
      <c r="R19" s="10"/>
      <c r="S19" s="10"/>
      <c r="T19" s="10"/>
      <c r="U19" s="10"/>
      <c r="V19" s="10"/>
      <c r="W19" s="10"/>
      <c r="X19" s="10"/>
      <c r="Y19" s="10"/>
      <c r="Z19" s="10"/>
    </row>
    <row r="20" ht="15.0" customHeight="1">
      <c r="A20" s="53" t="s">
        <v>116</v>
      </c>
      <c r="B20" s="37">
        <f>'3. Chi phí chi tiết'!B10</f>
        <v>444</v>
      </c>
      <c r="C20" s="34"/>
      <c r="D20" s="34"/>
      <c r="E20" s="34"/>
      <c r="F20" s="34"/>
      <c r="G20" s="34"/>
      <c r="H20" s="34"/>
      <c r="I20" s="34"/>
      <c r="J20" s="10"/>
      <c r="K20" s="10"/>
      <c r="L20" s="10"/>
      <c r="M20" s="10"/>
      <c r="N20" s="10"/>
      <c r="O20" s="10"/>
      <c r="P20" s="10"/>
      <c r="Q20" s="10"/>
      <c r="R20" s="10"/>
      <c r="S20" s="10"/>
      <c r="T20" s="10"/>
      <c r="U20" s="10"/>
      <c r="V20" s="10"/>
      <c r="W20" s="10"/>
      <c r="X20" s="10"/>
      <c r="Y20" s="10"/>
      <c r="Z20" s="10"/>
    </row>
    <row r="21" ht="15.0" customHeight="1">
      <c r="A21" s="33" t="s">
        <v>120</v>
      </c>
      <c r="B21" s="37">
        <f>'1. Giả định &amp; Thông số'!$B$5</f>
        <v>1800</v>
      </c>
      <c r="C21" s="34" t="s">
        <v>18</v>
      </c>
      <c r="D21" s="34" t="s">
        <v>18</v>
      </c>
      <c r="E21" s="34" t="s">
        <v>18</v>
      </c>
      <c r="F21" s="34" t="s">
        <v>18</v>
      </c>
      <c r="G21" s="34" t="s">
        <v>18</v>
      </c>
      <c r="H21" s="34" t="s">
        <v>18</v>
      </c>
      <c r="I21" s="34" t="s">
        <v>18</v>
      </c>
      <c r="J21" s="10"/>
      <c r="K21" s="10"/>
      <c r="L21" s="10"/>
      <c r="M21" s="10"/>
      <c r="N21" s="10"/>
      <c r="O21" s="10"/>
      <c r="P21" s="10"/>
      <c r="Q21" s="10"/>
      <c r="R21" s="10"/>
      <c r="S21" s="10"/>
      <c r="T21" s="10"/>
      <c r="U21" s="10"/>
      <c r="V21" s="10"/>
      <c r="W21" s="10"/>
      <c r="X21" s="10"/>
      <c r="Y21" s="10"/>
      <c r="Z21" s="10"/>
    </row>
    <row r="22" ht="15.0" customHeight="1">
      <c r="A22" s="33" t="s">
        <v>126</v>
      </c>
      <c r="B22" s="37"/>
      <c r="C22" s="34" t="s">
        <v>18</v>
      </c>
      <c r="D22" s="34" t="s">
        <v>18</v>
      </c>
      <c r="E22" s="34" t="s">
        <v>18</v>
      </c>
      <c r="F22" s="34" t="s">
        <v>18</v>
      </c>
      <c r="G22" s="34" t="s">
        <v>18</v>
      </c>
      <c r="H22" s="34" t="s">
        <v>18</v>
      </c>
      <c r="I22" s="34" t="s">
        <v>18</v>
      </c>
      <c r="J22" s="10"/>
      <c r="K22" s="10"/>
      <c r="L22" s="10"/>
      <c r="M22" s="10"/>
      <c r="N22" s="10"/>
      <c r="O22" s="10"/>
      <c r="P22" s="10"/>
      <c r="Q22" s="10"/>
      <c r="R22" s="10"/>
      <c r="S22" s="10"/>
      <c r="T22" s="10"/>
      <c r="U22" s="10"/>
      <c r="V22" s="10"/>
      <c r="W22" s="10"/>
      <c r="X22" s="10"/>
      <c r="Y22" s="10"/>
      <c r="Z22" s="10"/>
    </row>
    <row r="23" ht="30.75" customHeight="1">
      <c r="A23" s="33" t="s">
        <v>128</v>
      </c>
      <c r="B23" s="37">
        <f>'1. Giả định &amp; Thông số'!$B$7</f>
        <v>900</v>
      </c>
      <c r="C23" s="34" t="s">
        <v>18</v>
      </c>
      <c r="D23" s="34" t="s">
        <v>18</v>
      </c>
      <c r="E23" s="34" t="s">
        <v>18</v>
      </c>
      <c r="F23" s="34" t="s">
        <v>18</v>
      </c>
      <c r="G23" s="34" t="s">
        <v>18</v>
      </c>
      <c r="H23" s="34" t="s">
        <v>18</v>
      </c>
      <c r="I23" s="34" t="s">
        <v>18</v>
      </c>
      <c r="J23" s="10"/>
      <c r="K23" s="10"/>
      <c r="L23" s="10"/>
      <c r="M23" s="10"/>
      <c r="N23" s="10"/>
      <c r="O23" s="10"/>
      <c r="P23" s="10"/>
      <c r="Q23" s="10"/>
      <c r="R23" s="10"/>
      <c r="S23" s="10"/>
      <c r="T23" s="10"/>
      <c r="U23" s="10"/>
      <c r="V23" s="10"/>
      <c r="W23" s="10"/>
      <c r="X23" s="10"/>
      <c r="Y23" s="10"/>
      <c r="Z23" s="10"/>
    </row>
    <row r="24" ht="30.75" customHeight="1">
      <c r="A24" s="85" t="s">
        <v>131</v>
      </c>
      <c r="B24" s="50" t="s">
        <v>18</v>
      </c>
      <c r="C24" s="47">
        <f>'3. Chi phí chi tiết'!C10</f>
        <v>624</v>
      </c>
      <c r="D24" s="47">
        <f>'3. Chi phí chi tiết'!D10</f>
        <v>743.4</v>
      </c>
      <c r="E24" s="47">
        <f>'3. Chi phí chi tiết'!E10</f>
        <v>965.79</v>
      </c>
      <c r="F24" s="47">
        <f>'3. Chi phí chi tiết'!F10</f>
        <v>1444.716</v>
      </c>
      <c r="G24" s="47">
        <f>'3. Chi phí chi tiết'!G10</f>
        <v>1604.46825</v>
      </c>
      <c r="H24" s="47">
        <f>'3. Chi phí chi tiết'!H10</f>
        <v>1883.791586</v>
      </c>
      <c r="I24" s="47">
        <f>'3. Chi phí chi tiết'!I10</f>
        <v>1977.981166</v>
      </c>
      <c r="J24" s="10"/>
      <c r="K24" s="10"/>
      <c r="L24" s="10"/>
      <c r="M24" s="10"/>
      <c r="N24" s="10"/>
      <c r="O24" s="10"/>
      <c r="P24" s="10"/>
      <c r="Q24" s="10"/>
      <c r="R24" s="10"/>
      <c r="S24" s="10"/>
      <c r="T24" s="10"/>
      <c r="U24" s="10"/>
      <c r="V24" s="10"/>
      <c r="W24" s="10"/>
      <c r="X24" s="10"/>
      <c r="Y24" s="10"/>
      <c r="Z24" s="10"/>
    </row>
    <row r="25" ht="15.0" customHeight="1">
      <c r="A25" s="33" t="s">
        <v>139</v>
      </c>
      <c r="B25" s="34" t="s">
        <v>18</v>
      </c>
      <c r="C25" s="37">
        <f>'3. Chi phí chi tiết'!C4</f>
        <v>120</v>
      </c>
      <c r="D25" s="37">
        <f>'3. Chi phí chi tiết'!D4</f>
        <v>126</v>
      </c>
      <c r="E25" s="37">
        <f>'3. Chi phí chi tiết'!E4</f>
        <v>132.3</v>
      </c>
      <c r="F25" s="37">
        <f>'3. Chi phí chi tiết'!F4</f>
        <v>277.83</v>
      </c>
      <c r="G25" s="37">
        <f>'3. Chi phí chi tiết'!G4</f>
        <v>291.7215</v>
      </c>
      <c r="H25" s="37">
        <f>'3. Chi phí chi tiết'!H4</f>
        <v>306.307575</v>
      </c>
      <c r="I25" s="37">
        <f>'3. Chi phí chi tiết'!I4</f>
        <v>321.6229538</v>
      </c>
      <c r="J25" s="10"/>
      <c r="K25" s="10"/>
      <c r="L25" s="10"/>
      <c r="M25" s="10"/>
      <c r="N25" s="10"/>
      <c r="O25" s="10"/>
      <c r="P25" s="10"/>
      <c r="Q25" s="10"/>
      <c r="R25" s="10"/>
      <c r="S25" s="10"/>
      <c r="T25" s="10"/>
      <c r="U25" s="10"/>
      <c r="V25" s="10"/>
      <c r="W25" s="10"/>
      <c r="X25" s="10"/>
      <c r="Y25" s="10"/>
      <c r="Z25" s="10"/>
    </row>
    <row r="26" ht="15.0" customHeight="1">
      <c r="A26" s="33" t="s">
        <v>144</v>
      </c>
      <c r="B26" s="34" t="s">
        <v>18</v>
      </c>
      <c r="C26" s="37">
        <f>'3. Chi phí chi tiết'!C5</f>
        <v>192</v>
      </c>
      <c r="D26" s="37">
        <f>'3. Chi phí chi tiết'!D5</f>
        <v>201.6</v>
      </c>
      <c r="E26" s="37">
        <f>'3. Chi phí chi tiết'!E5</f>
        <v>317.52</v>
      </c>
      <c r="F26" s="37">
        <f>'3. Chi phí chi tiết'!F5</f>
        <v>444.528</v>
      </c>
      <c r="G26" s="37">
        <f>'3. Chi phí chi tiết'!G5</f>
        <v>466.7544</v>
      </c>
      <c r="H26" s="37">
        <f>'3. Chi phí chi tiết'!H5</f>
        <v>490.09212</v>
      </c>
      <c r="I26" s="37">
        <f>'3. Chi phí chi tiết'!I5</f>
        <v>514.596726</v>
      </c>
      <c r="J26" s="10"/>
      <c r="K26" s="10"/>
      <c r="L26" s="10"/>
      <c r="M26" s="10"/>
      <c r="N26" s="10"/>
      <c r="O26" s="10"/>
      <c r="P26" s="10"/>
      <c r="Q26" s="10"/>
      <c r="R26" s="10"/>
      <c r="S26" s="10"/>
      <c r="T26" s="10"/>
      <c r="U26" s="10"/>
      <c r="V26" s="10"/>
      <c r="W26" s="10"/>
      <c r="X26" s="10"/>
      <c r="Y26" s="10"/>
      <c r="Z26" s="10"/>
    </row>
    <row r="27" ht="30.75" customHeight="1">
      <c r="A27" s="33" t="s">
        <v>148</v>
      </c>
      <c r="B27" s="34" t="s">
        <v>18</v>
      </c>
      <c r="C27" s="37">
        <f>SUM('3. Chi phí chi tiết'!C6:C9)</f>
        <v>312</v>
      </c>
      <c r="D27" s="37">
        <f>SUM('3. Chi phí chi tiết'!D6:D9)</f>
        <v>415.8</v>
      </c>
      <c r="E27" s="37">
        <f>SUM('3. Chi phí chi tiết'!E6:E9)</f>
        <v>515.97</v>
      </c>
      <c r="F27" s="37">
        <f>SUM('3. Chi phí chi tiết'!F6:F9)</f>
        <v>722.358</v>
      </c>
      <c r="G27" s="37">
        <f>SUM('3. Chi phí chi tiết'!G6:G9)</f>
        <v>845.99235</v>
      </c>
      <c r="H27" s="37">
        <f>SUM('3. Chi phí chi tiết'!H6:H9)</f>
        <v>1087.391891</v>
      </c>
      <c r="I27" s="37">
        <f>SUM('3. Chi phí chi tiết'!I6:I9)</f>
        <v>1141.761486</v>
      </c>
      <c r="J27" s="10"/>
      <c r="K27" s="10"/>
      <c r="L27" s="10"/>
      <c r="M27" s="10"/>
      <c r="N27" s="10"/>
      <c r="O27" s="10"/>
      <c r="P27" s="10"/>
      <c r="Q27" s="10"/>
      <c r="R27" s="10"/>
      <c r="S27" s="10"/>
      <c r="T27" s="10"/>
      <c r="U27" s="10"/>
      <c r="V27" s="10"/>
      <c r="W27" s="10"/>
      <c r="X27" s="10"/>
      <c r="Y27" s="10"/>
      <c r="Z27" s="10"/>
    </row>
    <row r="28" ht="30.75" customHeight="1">
      <c r="A28" s="85" t="s">
        <v>154</v>
      </c>
      <c r="B28" s="50" t="s">
        <v>18</v>
      </c>
      <c r="C28" s="47">
        <f>'3. Chi phí chi tiết'!C13</f>
        <v>270</v>
      </c>
      <c r="D28" s="47">
        <f>'3. Chi phí chi tiết'!D13</f>
        <v>270</v>
      </c>
      <c r="E28" s="47">
        <f>'3. Chi phí chi tiết'!E13</f>
        <v>270</v>
      </c>
      <c r="F28" s="47">
        <f>'3. Chi phí chi tiết'!F13</f>
        <v>270</v>
      </c>
      <c r="G28" s="47">
        <f>'3. Chi phí chi tiết'!G13</f>
        <v>270</v>
      </c>
      <c r="H28" s="47">
        <f>'3. Chi phí chi tiết'!H13</f>
        <v>270</v>
      </c>
      <c r="I28" s="47">
        <f>'3. Chi phí chi tiết'!I13</f>
        <v>270</v>
      </c>
      <c r="J28" s="10"/>
      <c r="K28" s="10"/>
      <c r="L28" s="10"/>
      <c r="M28" s="10"/>
      <c r="N28" s="10"/>
      <c r="O28" s="10"/>
      <c r="P28" s="10"/>
      <c r="Q28" s="10"/>
      <c r="R28" s="10"/>
      <c r="S28" s="10"/>
      <c r="T28" s="10"/>
      <c r="U28" s="10"/>
      <c r="V28" s="10"/>
      <c r="W28" s="10"/>
      <c r="X28" s="10"/>
      <c r="Y28" s="10"/>
      <c r="Z28" s="10"/>
    </row>
    <row r="29" ht="15.0" customHeight="1">
      <c r="A29" s="85" t="s">
        <v>155</v>
      </c>
      <c r="B29" s="50" t="s">
        <v>18</v>
      </c>
      <c r="C29" s="47">
        <f>'3. Chi phí chi tiết'!C14</f>
        <v>510.0000002</v>
      </c>
      <c r="D29" s="47">
        <f>'3. Chi phí chi tiết'!D14</f>
        <v>695.6799997</v>
      </c>
      <c r="E29" s="47">
        <f>'3. Chi phí chi tiết'!E14</f>
        <v>1077.12</v>
      </c>
      <c r="F29" s="47">
        <f>'3. Chi phí chi tiết'!F14</f>
        <v>1494.400001</v>
      </c>
      <c r="G29" s="47">
        <f>'3. Chi phí chi tiết'!G14</f>
        <v>1932.480001</v>
      </c>
      <c r="H29" s="47">
        <f>'3. Chi phí chi tiết'!H14</f>
        <v>2178</v>
      </c>
      <c r="I29" s="47">
        <f>'3. Chi phí chi tiết'!I14</f>
        <v>2421.21</v>
      </c>
      <c r="J29" s="10"/>
      <c r="K29" s="10"/>
      <c r="L29" s="10"/>
      <c r="M29" s="10"/>
      <c r="N29" s="10"/>
      <c r="O29" s="10"/>
      <c r="P29" s="10"/>
      <c r="Q29" s="10"/>
      <c r="R29" s="10"/>
      <c r="S29" s="10"/>
      <c r="T29" s="10"/>
      <c r="U29" s="10"/>
      <c r="V29" s="10"/>
      <c r="W29" s="10"/>
      <c r="X29" s="10"/>
      <c r="Y29" s="10"/>
      <c r="Z29" s="10"/>
    </row>
    <row r="30" ht="15.0" customHeight="1">
      <c r="A30" s="85" t="s">
        <v>157</v>
      </c>
      <c r="B30" s="50" t="s">
        <v>18</v>
      </c>
      <c r="C30" s="47">
        <f>'3. Chi phí chi tiết'!C18</f>
        <v>306.0000001</v>
      </c>
      <c r="D30" s="47">
        <f>'3. Chi phí chi tiết'!D18</f>
        <v>417.4079998</v>
      </c>
      <c r="E30" s="47">
        <f>'3. Chi phí chi tiết'!E18</f>
        <v>646.272</v>
      </c>
      <c r="F30" s="47">
        <f>'3. Chi phí chi tiết'!F18</f>
        <v>896.6400003</v>
      </c>
      <c r="G30" s="47">
        <f>'3. Chi phí chi tiết'!G18</f>
        <v>1159.488</v>
      </c>
      <c r="H30" s="47">
        <f>'3. Chi phí chi tiết'!H18</f>
        <v>1306.8</v>
      </c>
      <c r="I30" s="47">
        <f>'3. Chi phí chi tiết'!I18</f>
        <v>1452.726</v>
      </c>
      <c r="J30" s="10"/>
      <c r="K30" s="10"/>
      <c r="L30" s="10"/>
      <c r="M30" s="10"/>
      <c r="N30" s="10"/>
      <c r="O30" s="10"/>
      <c r="P30" s="10"/>
      <c r="Q30" s="10"/>
      <c r="R30" s="10"/>
      <c r="S30" s="10"/>
      <c r="T30" s="10"/>
      <c r="U30" s="10"/>
      <c r="V30" s="10"/>
      <c r="W30" s="10"/>
      <c r="X30" s="10"/>
      <c r="Y30" s="10"/>
      <c r="Z30" s="10"/>
    </row>
    <row r="31" ht="15.0" customHeight="1">
      <c r="A31" s="85" t="s">
        <v>160</v>
      </c>
      <c r="B31" s="50" t="s">
        <v>18</v>
      </c>
      <c r="C31" s="47">
        <f>'1. Giả định &amp; Thông số'!$B$43</f>
        <v>240</v>
      </c>
      <c r="D31" s="47">
        <f>'1. Giả định &amp; Thông số'!$B$43</f>
        <v>240</v>
      </c>
      <c r="E31" s="47">
        <f>'1. Giả định &amp; Thông số'!$B$43</f>
        <v>240</v>
      </c>
      <c r="F31" s="47">
        <f>'1. Giả định &amp; Thông số'!$B$43</f>
        <v>240</v>
      </c>
      <c r="G31" s="47">
        <f>'1. Giả định &amp; Thông số'!$B$43</f>
        <v>240</v>
      </c>
      <c r="H31" s="47">
        <f>'1. Giả định &amp; Thông số'!$B$43</f>
        <v>240</v>
      </c>
      <c r="I31" s="47">
        <f>'1. Giả định &amp; Thông số'!$B$43</f>
        <v>240</v>
      </c>
      <c r="J31" s="10"/>
      <c r="K31" s="10"/>
      <c r="L31" s="10"/>
      <c r="M31" s="10"/>
      <c r="N31" s="10"/>
      <c r="O31" s="10"/>
      <c r="P31" s="10"/>
      <c r="Q31" s="10"/>
      <c r="R31" s="10"/>
      <c r="S31" s="10"/>
      <c r="T31" s="10"/>
      <c r="U31" s="10"/>
      <c r="V31" s="10"/>
      <c r="W31" s="10"/>
      <c r="X31" s="10"/>
      <c r="Y31" s="10"/>
      <c r="Z31" s="10"/>
    </row>
    <row r="32" ht="15.0" customHeight="1">
      <c r="A32" s="85" t="s">
        <v>161</v>
      </c>
      <c r="B32" s="50" t="s">
        <v>18</v>
      </c>
      <c r="C32" s="47">
        <f>'1. Giả định &amp; Thông số'!$B$44</f>
        <v>30</v>
      </c>
      <c r="D32" s="47">
        <f>'1. Giả định &amp; Thông số'!$B$44</f>
        <v>30</v>
      </c>
      <c r="E32" s="47">
        <f>'1. Giả định &amp; Thông số'!$B$44</f>
        <v>30</v>
      </c>
      <c r="F32" s="47">
        <f>'1. Giả định &amp; Thông số'!$B$44</f>
        <v>30</v>
      </c>
      <c r="G32" s="47">
        <f>'1. Giả định &amp; Thông số'!$B$44</f>
        <v>30</v>
      </c>
      <c r="H32" s="47">
        <f>'1. Giả định &amp; Thông số'!$B$44</f>
        <v>30</v>
      </c>
      <c r="I32" s="47">
        <f>'1. Giả định &amp; Thông số'!$B$44</f>
        <v>30</v>
      </c>
      <c r="J32" s="10"/>
      <c r="K32" s="10"/>
      <c r="L32" s="10"/>
      <c r="M32" s="10"/>
      <c r="N32" s="10"/>
      <c r="O32" s="10"/>
      <c r="P32" s="10"/>
      <c r="Q32" s="10"/>
      <c r="R32" s="10"/>
      <c r="S32" s="10"/>
      <c r="T32" s="10"/>
      <c r="U32" s="10"/>
      <c r="V32" s="10"/>
      <c r="W32" s="10"/>
      <c r="X32" s="10"/>
      <c r="Y32" s="10"/>
      <c r="Z32" s="10"/>
    </row>
    <row r="33" ht="15.0" customHeight="1">
      <c r="A33" s="85" t="s">
        <v>163</v>
      </c>
      <c r="B33" s="50" t="s">
        <v>18</v>
      </c>
      <c r="C33" s="47">
        <f>'3. Chi phí chi tiết'!C19</f>
        <v>255.0000001</v>
      </c>
      <c r="D33" s="47">
        <f>'3. Chi phí chi tiết'!D19</f>
        <v>347.8399999</v>
      </c>
      <c r="E33" s="47">
        <f>'3. Chi phí chi tiết'!E19</f>
        <v>538.56</v>
      </c>
      <c r="F33" s="47">
        <f>'3. Chi phí chi tiết'!F19</f>
        <v>747.2000003</v>
      </c>
      <c r="G33" s="47">
        <f>'3. Chi phí chi tiết'!G19</f>
        <v>966.2400003</v>
      </c>
      <c r="H33" s="47">
        <f>'3. Chi phí chi tiết'!H19</f>
        <v>1089</v>
      </c>
      <c r="I33" s="47">
        <f>'3. Chi phí chi tiết'!I19</f>
        <v>1210.605</v>
      </c>
      <c r="J33" s="10"/>
      <c r="K33" s="10"/>
      <c r="L33" s="10"/>
      <c r="M33" s="10"/>
      <c r="N33" s="10"/>
      <c r="O33" s="10"/>
      <c r="P33" s="10"/>
      <c r="Q33" s="10"/>
      <c r="R33" s="10"/>
      <c r="S33" s="10"/>
      <c r="T33" s="10"/>
      <c r="U33" s="10"/>
      <c r="V33" s="10"/>
      <c r="W33" s="10"/>
      <c r="X33" s="10"/>
      <c r="Y33" s="10"/>
      <c r="Z33" s="10"/>
    </row>
    <row r="34" ht="15.0" customHeight="1">
      <c r="A34" s="85" t="s">
        <v>166</v>
      </c>
      <c r="B34" s="50" t="s">
        <v>18</v>
      </c>
      <c r="C34" s="72">
        <f>MAX(0,'1. Giả định &amp; Thông số'!$B$35*C15)</f>
        <v>255.0000001</v>
      </c>
      <c r="D34" s="72">
        <f>MAX(0,'1. Giả định &amp; Thông số'!$B$35*(D15-C15))</f>
        <v>92.83999976</v>
      </c>
      <c r="E34" s="72">
        <f>MAX(0,'1. Giả định &amp; Thông số'!$B$35*(E15-D15))</f>
        <v>190.7200001</v>
      </c>
      <c r="F34" s="72">
        <f>MAX(0,'1. Giả định &amp; Thông số'!$B$35*(F15-E15))</f>
        <v>208.6400003</v>
      </c>
      <c r="G34" s="72">
        <f>MAX(0,'1. Giả định &amp; Thông số'!$B$35*(G15-F15))</f>
        <v>219.0400001</v>
      </c>
      <c r="H34" s="72">
        <f>MAX(0,'1. Giả định &amp; Thông số'!$B$35*(H15-G15))</f>
        <v>122.7599997</v>
      </c>
      <c r="I34" s="72">
        <f>MAX(0,'1. Giả định &amp; Thông số'!$B$35*(I15-H15))</f>
        <v>121.605</v>
      </c>
      <c r="J34" s="10"/>
      <c r="K34" s="10"/>
      <c r="L34" s="10"/>
      <c r="M34" s="10"/>
      <c r="N34" s="10"/>
      <c r="O34" s="10"/>
      <c r="P34" s="10"/>
      <c r="Q34" s="10"/>
      <c r="R34" s="10"/>
      <c r="S34" s="10"/>
      <c r="T34" s="10"/>
      <c r="U34" s="10"/>
      <c r="V34" s="10"/>
      <c r="W34" s="10"/>
      <c r="X34" s="10"/>
      <c r="Y34" s="10"/>
      <c r="Z34" s="10"/>
    </row>
    <row r="35" ht="15.0" customHeight="1">
      <c r="A35" s="33" t="s">
        <v>171</v>
      </c>
      <c r="B35" s="34" t="s">
        <v>18</v>
      </c>
      <c r="C35" s="102">
        <f>MAX(0,'1. Giả định &amp; Thông số'!$B$35*C15)</f>
        <v>255.0000001</v>
      </c>
      <c r="D35" s="102">
        <f>MAX(0,'1. Giả định &amp; Thông số'!$B$35*(D15-C15))</f>
        <v>92.83999976</v>
      </c>
      <c r="E35" s="102">
        <f>MAX(0,'1. Giả định &amp; Thông số'!$B$35*(E15-D15))</f>
        <v>190.7200001</v>
      </c>
      <c r="F35" s="102">
        <f>MAX(0,'1. Giả định &amp; Thông số'!$B$35*(F15-E15))</f>
        <v>208.6400003</v>
      </c>
      <c r="G35" s="102">
        <f>MAX(0,'1. Giả định &amp; Thông số'!$B$35*(G15-F15))</f>
        <v>219.0400001</v>
      </c>
      <c r="H35" s="102">
        <f>MAX(0,'1. Giả định &amp; Thông số'!$B$35*(H15-G15))</f>
        <v>122.7599997</v>
      </c>
      <c r="I35" s="102">
        <f>MAX(0,'1. Giả định &amp; Thông số'!$B$35*(I15-H15))</f>
        <v>121.605</v>
      </c>
      <c r="J35" s="10"/>
      <c r="K35" s="10"/>
      <c r="L35" s="10"/>
      <c r="M35" s="10"/>
      <c r="N35" s="10"/>
      <c r="O35" s="10"/>
      <c r="P35" s="10"/>
      <c r="Q35" s="10"/>
      <c r="R35" s="10"/>
      <c r="S35" s="10"/>
      <c r="T35" s="10"/>
      <c r="U35" s="10"/>
      <c r="V35" s="10"/>
      <c r="W35" s="10"/>
      <c r="X35" s="10"/>
      <c r="Y35" s="10"/>
      <c r="Z35" s="10"/>
    </row>
    <row r="36" ht="15.0" customHeight="1">
      <c r="A36" s="85" t="s">
        <v>174</v>
      </c>
      <c r="B36" s="50" t="s">
        <v>18</v>
      </c>
      <c r="C36" s="47">
        <f>MAX(0,'1. Giả định &amp; Thông số'!$B$16*'4. Báo cáo Thu nhập'!C11)</f>
        <v>0</v>
      </c>
      <c r="D36" s="47">
        <f>MAX(0,'1. Giả định &amp; Thông số'!$B$16*'4. Báo cáo Thu nhập'!D11)</f>
        <v>0.8380744758</v>
      </c>
      <c r="E36" s="47">
        <f>MAX(0,'1. Giả định &amp; Thông số'!$B$16*'4. Báo cáo Thu nhập'!E11)</f>
        <v>184.1366826</v>
      </c>
      <c r="F36" s="47">
        <f>MAX(0,'1. Giả định &amp; Thông số'!$B$16*'4. Báo cáo Thu nhập'!F11)</f>
        <v>397.6348458</v>
      </c>
      <c r="G36" s="47">
        <f>MAX(0,'1. Giả định &amp; Thông số'!$B$16*'4. Báo cáo Thu nhập'!G11)</f>
        <v>627.8304647</v>
      </c>
      <c r="H36" s="47">
        <f>MAX(0,'1. Giả định &amp; Thông số'!$B$16*'4. Báo cáo Thu nhập'!H11)</f>
        <v>727.0531113</v>
      </c>
      <c r="I36" s="47">
        <f>MAX(0,'1. Giả định &amp; Thông số'!$B$16*'4. Báo cáo Thu nhập'!I11)</f>
        <v>849.2769955</v>
      </c>
      <c r="J36" s="10"/>
      <c r="K36" s="10"/>
      <c r="L36" s="10"/>
      <c r="M36" s="10"/>
      <c r="N36" s="10"/>
      <c r="O36" s="10"/>
      <c r="P36" s="10"/>
      <c r="Q36" s="10"/>
      <c r="R36" s="10"/>
      <c r="S36" s="10"/>
      <c r="T36" s="10"/>
      <c r="U36" s="10"/>
      <c r="V36" s="10"/>
      <c r="W36" s="10"/>
      <c r="X36" s="10"/>
      <c r="Y36" s="10"/>
      <c r="Z36" s="10"/>
    </row>
    <row r="37" ht="20.25" customHeight="1">
      <c r="A37" s="107" t="s">
        <v>177</v>
      </c>
      <c r="B37" s="75">
        <f>'1. Giả định &amp; Thông số'!$B$4+'1. Giả định &amp; Thông số'!$B$5+'1. Giả định &amp; Thông số'!$B$6+'1. Giả định &amp; Thông số'!$B$7</f>
        <v>3154</v>
      </c>
      <c r="C37" s="75">
        <f t="shared" ref="C37:I37" si="4">sum(C24,C28:C34,C36)</f>
        <v>2490.000001</v>
      </c>
      <c r="D37" s="75">
        <f t="shared" si="4"/>
        <v>2838.006074</v>
      </c>
      <c r="E37" s="75">
        <f t="shared" si="4"/>
        <v>4142.598683</v>
      </c>
      <c r="F37" s="75">
        <f t="shared" si="4"/>
        <v>5729.230847</v>
      </c>
      <c r="G37" s="75">
        <f t="shared" si="4"/>
        <v>7049.546716</v>
      </c>
      <c r="H37" s="75">
        <f t="shared" si="4"/>
        <v>7847.404697</v>
      </c>
      <c r="I37" s="75">
        <f t="shared" si="4"/>
        <v>8573.404161</v>
      </c>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0" customHeight="1">
      <c r="A39" s="108" t="s">
        <v>178</v>
      </c>
      <c r="B39" s="3"/>
      <c r="C39" s="3"/>
      <c r="D39" s="3"/>
      <c r="E39" s="3"/>
      <c r="F39" s="3"/>
      <c r="G39" s="3"/>
      <c r="H39" s="3"/>
      <c r="I39" s="5"/>
      <c r="J39" s="10"/>
      <c r="K39" s="10"/>
      <c r="L39" s="10"/>
      <c r="M39" s="10"/>
      <c r="N39" s="10"/>
      <c r="O39" s="10"/>
      <c r="P39" s="10"/>
      <c r="Q39" s="10"/>
      <c r="R39" s="10"/>
      <c r="S39" s="10"/>
      <c r="T39" s="10"/>
      <c r="U39" s="10"/>
      <c r="V39" s="10"/>
      <c r="W39" s="10"/>
      <c r="X39" s="10"/>
      <c r="Y39" s="10"/>
      <c r="Z39" s="10"/>
    </row>
    <row r="40" ht="30.0" customHeight="1">
      <c r="A40" s="55" t="s">
        <v>180</v>
      </c>
      <c r="B40" s="109">
        <f>-B37</f>
        <v>-3154</v>
      </c>
      <c r="C40" s="109">
        <f t="shared" ref="C40:I40" si="5">C15-C37</f>
        <v>60.0000005</v>
      </c>
      <c r="D40" s="109">
        <f t="shared" si="5"/>
        <v>640.393925</v>
      </c>
      <c r="E40" s="109">
        <f t="shared" si="5"/>
        <v>1243.001317</v>
      </c>
      <c r="F40" s="109">
        <f t="shared" si="5"/>
        <v>1742.769156</v>
      </c>
      <c r="G40" s="109">
        <f t="shared" si="5"/>
        <v>2612.853287</v>
      </c>
      <c r="H40" s="109">
        <f t="shared" si="5"/>
        <v>3042.595303</v>
      </c>
      <c r="I40" s="109">
        <f t="shared" si="5"/>
        <v>3532.645839</v>
      </c>
      <c r="J40" s="10"/>
      <c r="K40" s="10"/>
      <c r="L40" s="10"/>
      <c r="M40" s="10"/>
      <c r="N40" s="10"/>
      <c r="O40" s="10"/>
      <c r="P40" s="10"/>
      <c r="Q40" s="10"/>
      <c r="R40" s="10"/>
      <c r="S40" s="10"/>
      <c r="T40" s="10"/>
      <c r="U40" s="10"/>
      <c r="V40" s="10"/>
      <c r="W40" s="10"/>
      <c r="X40" s="10"/>
      <c r="Y40" s="10"/>
      <c r="Z40" s="10"/>
    </row>
    <row r="41" ht="15.0" customHeight="1">
      <c r="A41" s="78" t="s">
        <v>181</v>
      </c>
      <c r="B41" s="102">
        <f>B40</f>
        <v>-3154</v>
      </c>
      <c r="C41" s="102">
        <f t="shared" ref="C41:I41" si="6">sum(B41,C40)</f>
        <v>-3093.999999</v>
      </c>
      <c r="D41" s="102">
        <f t="shared" si="6"/>
        <v>-2453.606075</v>
      </c>
      <c r="E41" s="102">
        <f t="shared" si="6"/>
        <v>-1210.604757</v>
      </c>
      <c r="F41" s="102">
        <f t="shared" si="6"/>
        <v>532.1643982</v>
      </c>
      <c r="G41" s="102">
        <f t="shared" si="6"/>
        <v>3145.017685</v>
      </c>
      <c r="H41" s="102">
        <f t="shared" si="6"/>
        <v>6187.612988</v>
      </c>
      <c r="I41" s="102">
        <f t="shared" si="6"/>
        <v>9720.258827</v>
      </c>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0" customHeight="1">
      <c r="A43" s="110" t="s">
        <v>183</v>
      </c>
      <c r="B43" s="3"/>
      <c r="C43" s="3"/>
      <c r="D43" s="3"/>
      <c r="E43" s="3"/>
      <c r="F43" s="3"/>
      <c r="G43" s="3"/>
      <c r="H43" s="3"/>
      <c r="I43" s="5"/>
      <c r="J43" s="10"/>
      <c r="K43" s="10"/>
      <c r="L43" s="10"/>
      <c r="M43" s="10"/>
      <c r="N43" s="10"/>
      <c r="O43" s="10"/>
      <c r="P43" s="10"/>
      <c r="Q43" s="10"/>
      <c r="R43" s="10"/>
      <c r="S43" s="10"/>
      <c r="T43" s="10"/>
      <c r="U43" s="10"/>
      <c r="V43" s="10"/>
      <c r="W43" s="10"/>
      <c r="X43" s="10"/>
      <c r="Y43" s="10"/>
      <c r="Z43" s="10"/>
    </row>
    <row r="44" ht="15.0" customHeight="1">
      <c r="A44" s="111" t="s">
        <v>185</v>
      </c>
      <c r="B44" s="113">
        <f>'1. Giả định &amp; Thông số'!$B$12</f>
        <v>1261.6</v>
      </c>
      <c r="C44" s="114" t="s">
        <v>18</v>
      </c>
      <c r="D44" s="114" t="s">
        <v>18</v>
      </c>
      <c r="E44" s="114" t="s">
        <v>18</v>
      </c>
      <c r="F44" s="114" t="s">
        <v>18</v>
      </c>
      <c r="G44" s="114" t="s">
        <v>18</v>
      </c>
      <c r="H44" s="114" t="s">
        <v>18</v>
      </c>
      <c r="I44" s="114" t="s">
        <v>18</v>
      </c>
      <c r="J44" s="10"/>
      <c r="K44" s="10"/>
      <c r="L44" s="10"/>
      <c r="M44" s="10"/>
      <c r="N44" s="10"/>
      <c r="O44" s="10"/>
      <c r="P44" s="10"/>
      <c r="Q44" s="10"/>
      <c r="R44" s="10"/>
      <c r="S44" s="10"/>
      <c r="T44" s="10"/>
      <c r="U44" s="10"/>
      <c r="V44" s="10"/>
      <c r="W44" s="10"/>
      <c r="X44" s="10"/>
      <c r="Y44" s="10"/>
      <c r="Z44" s="10"/>
    </row>
    <row r="45" ht="15.0" customHeight="1">
      <c r="A45" s="33" t="s">
        <v>158</v>
      </c>
      <c r="B45" s="115" t="s">
        <v>18</v>
      </c>
      <c r="C45" s="37">
        <f>'1. Giả định &amp; Thông số'!$B$12</f>
        <v>1261.6</v>
      </c>
      <c r="D45" s="102">
        <f t="shared" ref="D45:I45" si="7">C49</f>
        <v>993.7290749</v>
      </c>
      <c r="E45" s="102">
        <f t="shared" si="7"/>
        <v>696.392348</v>
      </c>
      <c r="F45" s="102">
        <f t="shared" si="7"/>
        <v>366.3485812</v>
      </c>
      <c r="G45" s="102">
        <f t="shared" si="7"/>
        <v>0</v>
      </c>
      <c r="H45" s="102">
        <f t="shared" si="7"/>
        <v>0</v>
      </c>
      <c r="I45" s="102">
        <f t="shared" si="7"/>
        <v>0</v>
      </c>
      <c r="J45" s="10"/>
      <c r="K45" s="10"/>
      <c r="L45" s="10"/>
      <c r="M45" s="10"/>
      <c r="N45" s="10"/>
      <c r="O45" s="10"/>
      <c r="P45" s="10"/>
      <c r="Q45" s="10"/>
      <c r="R45" s="10"/>
      <c r="S45" s="10"/>
      <c r="T45" s="10"/>
      <c r="U45" s="10"/>
      <c r="V45" s="10"/>
      <c r="W45" s="10"/>
      <c r="X45" s="10"/>
      <c r="Y45" s="10"/>
      <c r="Z45" s="10"/>
    </row>
    <row r="46" ht="15.0" customHeight="1">
      <c r="A46" s="116" t="s">
        <v>186</v>
      </c>
      <c r="B46" s="117" t="s">
        <v>18</v>
      </c>
      <c r="C46" s="118">
        <f>C45*'1. Giả định &amp; Thông số'!$B$14</f>
        <v>138.776</v>
      </c>
      <c r="D46" s="118">
        <f>D45*'1. Giả định &amp; Thông số'!$B$14</f>
        <v>109.3101982</v>
      </c>
      <c r="E46" s="118">
        <f>E45*'1. Giả định &amp; Thông số'!$B$14</f>
        <v>76.60315828</v>
      </c>
      <c r="F46" s="118">
        <f>F45*'1. Giả định &amp; Thông số'!$B$14</f>
        <v>40.29834393</v>
      </c>
      <c r="G46" s="118">
        <f>G45*'1. Giả định &amp; Thông số'!$B$14</f>
        <v>0</v>
      </c>
      <c r="H46" s="118">
        <f>H45*'1. Giả định &amp; Thông số'!$B$14</f>
        <v>0</v>
      </c>
      <c r="I46" s="118">
        <f>I45*'1. Giả định &amp; Thông số'!$B$14</f>
        <v>0</v>
      </c>
      <c r="J46" s="10"/>
      <c r="K46" s="10"/>
      <c r="L46" s="10"/>
      <c r="M46" s="10"/>
      <c r="N46" s="10"/>
      <c r="O46" s="10"/>
      <c r="P46" s="10"/>
      <c r="Q46" s="10"/>
      <c r="R46" s="10"/>
      <c r="S46" s="10"/>
      <c r="T46" s="10"/>
      <c r="U46" s="10"/>
      <c r="V46" s="10"/>
      <c r="W46" s="10"/>
      <c r="X46" s="10"/>
      <c r="Y46" s="10"/>
      <c r="Z46" s="10"/>
    </row>
    <row r="47" ht="15.0" customHeight="1">
      <c r="A47" s="111" t="s">
        <v>168</v>
      </c>
      <c r="B47" s="117" t="s">
        <v>18</v>
      </c>
      <c r="C47" s="118">
        <f t="shared" ref="C47:I47" si="8">C48-C46</f>
        <v>267.8709251</v>
      </c>
      <c r="D47" s="118">
        <f t="shared" si="8"/>
        <v>297.3367269</v>
      </c>
      <c r="E47" s="118">
        <f t="shared" si="8"/>
        <v>330.0437668</v>
      </c>
      <c r="F47" s="118">
        <f t="shared" si="8"/>
        <v>366.3485812</v>
      </c>
      <c r="G47" s="118">
        <f t="shared" si="8"/>
        <v>0</v>
      </c>
      <c r="H47" s="118">
        <f t="shared" si="8"/>
        <v>0</v>
      </c>
      <c r="I47" s="118">
        <f t="shared" si="8"/>
        <v>0</v>
      </c>
      <c r="J47" s="10"/>
      <c r="K47" s="10"/>
      <c r="L47" s="10"/>
      <c r="M47" s="10"/>
      <c r="N47" s="10"/>
      <c r="O47" s="10"/>
      <c r="P47" s="10"/>
      <c r="Q47" s="10"/>
      <c r="R47" s="10"/>
      <c r="S47" s="10"/>
      <c r="T47" s="10"/>
      <c r="U47" s="10"/>
      <c r="V47" s="10"/>
      <c r="W47" s="10"/>
      <c r="X47" s="10"/>
      <c r="Y47" s="10"/>
      <c r="Z47" s="10"/>
    </row>
    <row r="48" ht="15.0" customHeight="1">
      <c r="A48" s="120" t="s">
        <v>189</v>
      </c>
      <c r="B48" s="122" t="s">
        <v>18</v>
      </c>
      <c r="C48" s="123">
        <f>'5. Lịch trả nợ'!C7</f>
        <v>406.6469251</v>
      </c>
      <c r="D48" s="123">
        <f>'5. Lịch trả nợ'!D7</f>
        <v>406.6469251</v>
      </c>
      <c r="E48" s="123">
        <f>'5. Lịch trả nợ'!E7</f>
        <v>406.6469251</v>
      </c>
      <c r="F48" s="123">
        <f>'5. Lịch trả nợ'!F7</f>
        <v>406.6469251</v>
      </c>
      <c r="G48" s="123">
        <f>'5. Lịch trả nợ'!G7</f>
        <v>0</v>
      </c>
      <c r="H48" s="123">
        <f>'5. Lịch trả nợ'!H7</f>
        <v>0</v>
      </c>
      <c r="I48" s="123">
        <f>'5. Lịch trả nợ'!I7</f>
        <v>0</v>
      </c>
      <c r="J48" s="10"/>
      <c r="K48" s="10"/>
      <c r="L48" s="10"/>
      <c r="M48" s="10"/>
      <c r="N48" s="10"/>
      <c r="O48" s="10"/>
      <c r="P48" s="10"/>
      <c r="Q48" s="10"/>
      <c r="R48" s="10"/>
      <c r="S48" s="10"/>
      <c r="T48" s="10"/>
      <c r="U48" s="10"/>
      <c r="V48" s="10"/>
      <c r="W48" s="10"/>
      <c r="X48" s="10"/>
      <c r="Y48" s="10"/>
      <c r="Z48" s="10"/>
    </row>
    <row r="49" ht="15.0" customHeight="1">
      <c r="A49" s="33" t="s">
        <v>175</v>
      </c>
      <c r="B49" s="37">
        <f>'1. Giả định &amp; Thông số'!$B$12</f>
        <v>1261.6</v>
      </c>
      <c r="C49" s="102">
        <f t="shared" ref="C49:I49" si="9">C45-C47</f>
        <v>993.7290749</v>
      </c>
      <c r="D49" s="102">
        <f t="shared" si="9"/>
        <v>696.392348</v>
      </c>
      <c r="E49" s="102">
        <f t="shared" si="9"/>
        <v>366.3485812</v>
      </c>
      <c r="F49" s="102">
        <f t="shared" si="9"/>
        <v>0</v>
      </c>
      <c r="G49" s="102">
        <f t="shared" si="9"/>
        <v>0</v>
      </c>
      <c r="H49" s="102">
        <f t="shared" si="9"/>
        <v>0</v>
      </c>
      <c r="I49" s="102">
        <f t="shared" si="9"/>
        <v>0</v>
      </c>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0" customHeight="1">
      <c r="A51" s="127" t="s">
        <v>191</v>
      </c>
      <c r="B51" s="3"/>
      <c r="C51" s="3"/>
      <c r="D51" s="3"/>
      <c r="E51" s="3"/>
      <c r="F51" s="3"/>
      <c r="G51" s="3"/>
      <c r="H51" s="3"/>
      <c r="I51" s="5"/>
      <c r="J51" s="10"/>
      <c r="K51" s="10"/>
      <c r="L51" s="10"/>
      <c r="M51" s="10"/>
      <c r="N51" s="10"/>
      <c r="O51" s="10"/>
      <c r="P51" s="10"/>
      <c r="Q51" s="10"/>
      <c r="R51" s="10"/>
      <c r="S51" s="10"/>
      <c r="T51" s="10"/>
      <c r="U51" s="10"/>
      <c r="V51" s="10"/>
      <c r="W51" s="10"/>
      <c r="X51" s="10"/>
      <c r="Y51" s="10"/>
      <c r="Z51" s="10"/>
    </row>
    <row r="52" ht="15.0" customHeight="1">
      <c r="A52" s="33" t="s">
        <v>192</v>
      </c>
      <c r="B52" s="102">
        <f t="shared" ref="B52:I52" si="10">B40</f>
        <v>-3154</v>
      </c>
      <c r="C52" s="102">
        <f t="shared" si="10"/>
        <v>60.0000005</v>
      </c>
      <c r="D52" s="102">
        <f t="shared" si="10"/>
        <v>640.393925</v>
      </c>
      <c r="E52" s="102">
        <f t="shared" si="10"/>
        <v>1243.001317</v>
      </c>
      <c r="F52" s="102">
        <f t="shared" si="10"/>
        <v>1742.769156</v>
      </c>
      <c r="G52" s="102">
        <f t="shared" si="10"/>
        <v>2612.853287</v>
      </c>
      <c r="H52" s="102">
        <f t="shared" si="10"/>
        <v>3042.595303</v>
      </c>
      <c r="I52" s="102">
        <f t="shared" si="10"/>
        <v>3532.645839</v>
      </c>
      <c r="J52" s="10"/>
      <c r="K52" s="10"/>
      <c r="L52" s="10"/>
      <c r="M52" s="10"/>
      <c r="N52" s="10"/>
      <c r="O52" s="10"/>
      <c r="P52" s="10"/>
      <c r="Q52" s="10"/>
      <c r="R52" s="10"/>
      <c r="S52" s="10"/>
      <c r="T52" s="10"/>
      <c r="U52" s="10"/>
      <c r="V52" s="10"/>
      <c r="W52" s="10"/>
      <c r="X52" s="10"/>
      <c r="Y52" s="10"/>
      <c r="Z52" s="10"/>
    </row>
    <row r="53" ht="15.0" customHeight="1">
      <c r="A53" s="33" t="s">
        <v>193</v>
      </c>
      <c r="B53" s="37">
        <f>'1. Giả định &amp; Thông số'!$B$12</f>
        <v>1261.6</v>
      </c>
      <c r="C53" s="34" t="s">
        <v>18</v>
      </c>
      <c r="D53" s="34" t="s">
        <v>18</v>
      </c>
      <c r="E53" s="34" t="s">
        <v>18</v>
      </c>
      <c r="F53" s="34" t="s">
        <v>18</v>
      </c>
      <c r="G53" s="34" t="s">
        <v>18</v>
      </c>
      <c r="H53" s="34" t="s">
        <v>18</v>
      </c>
      <c r="I53" s="34" t="s">
        <v>18</v>
      </c>
      <c r="J53" s="10"/>
      <c r="K53" s="10"/>
      <c r="L53" s="10"/>
      <c r="M53" s="10"/>
      <c r="N53" s="10"/>
      <c r="O53" s="10"/>
      <c r="P53" s="10"/>
      <c r="Q53" s="10"/>
      <c r="R53" s="10"/>
      <c r="S53" s="10"/>
      <c r="T53" s="10"/>
      <c r="U53" s="10"/>
      <c r="V53" s="10"/>
      <c r="W53" s="10"/>
      <c r="X53" s="10"/>
      <c r="Y53" s="10"/>
      <c r="Z53" s="10"/>
    </row>
    <row r="54" ht="15.0" customHeight="1">
      <c r="A54" s="33" t="s">
        <v>194</v>
      </c>
      <c r="B54" s="115" t="s">
        <v>18</v>
      </c>
      <c r="C54" s="102">
        <f t="shared" ref="C54:I54" si="11">-C48</f>
        <v>-406.6469251</v>
      </c>
      <c r="D54" s="102">
        <f t="shared" si="11"/>
        <v>-406.6469251</v>
      </c>
      <c r="E54" s="102">
        <f t="shared" si="11"/>
        <v>-406.6469251</v>
      </c>
      <c r="F54" s="102">
        <f t="shared" si="11"/>
        <v>-406.6469251</v>
      </c>
      <c r="G54" s="102">
        <f t="shared" si="11"/>
        <v>0</v>
      </c>
      <c r="H54" s="102">
        <f t="shared" si="11"/>
        <v>0</v>
      </c>
      <c r="I54" s="102">
        <f t="shared" si="11"/>
        <v>0</v>
      </c>
      <c r="J54" s="10"/>
      <c r="K54" s="10"/>
      <c r="L54" s="10"/>
      <c r="M54" s="10"/>
      <c r="N54" s="10"/>
      <c r="O54" s="10"/>
      <c r="P54" s="10"/>
      <c r="Q54" s="10"/>
      <c r="R54" s="10"/>
      <c r="S54" s="10"/>
      <c r="T54" s="10"/>
      <c r="U54" s="10"/>
      <c r="V54" s="10"/>
      <c r="W54" s="10"/>
      <c r="X54" s="10"/>
      <c r="Y54" s="10"/>
      <c r="Z54" s="10"/>
    </row>
    <row r="55" ht="15.0" customHeight="1">
      <c r="A55" s="14" t="s">
        <v>195</v>
      </c>
      <c r="B55" s="106">
        <f>-'1. Giả định &amp; Thông số'!$B$13</f>
        <v>-1892.4</v>
      </c>
      <c r="C55" s="106">
        <f t="shared" ref="C55:I55" si="12">C52+C54</f>
        <v>-346.6469246</v>
      </c>
      <c r="D55" s="106">
        <f t="shared" si="12"/>
        <v>233.7469998</v>
      </c>
      <c r="E55" s="106">
        <f t="shared" si="12"/>
        <v>836.3543921</v>
      </c>
      <c r="F55" s="106">
        <f t="shared" si="12"/>
        <v>1336.12223</v>
      </c>
      <c r="G55" s="106">
        <f t="shared" si="12"/>
        <v>2612.853287</v>
      </c>
      <c r="H55" s="106">
        <f t="shared" si="12"/>
        <v>3042.595303</v>
      </c>
      <c r="I55" s="106">
        <f t="shared" si="12"/>
        <v>3532.645839</v>
      </c>
      <c r="J55" s="10"/>
      <c r="K55" s="10"/>
      <c r="L55" s="10"/>
      <c r="M55" s="10"/>
      <c r="N55" s="10"/>
      <c r="O55" s="10"/>
      <c r="P55" s="10"/>
      <c r="Q55" s="10"/>
      <c r="R55" s="10"/>
      <c r="S55" s="10"/>
      <c r="T55" s="10"/>
      <c r="U55" s="10"/>
      <c r="V55" s="10"/>
      <c r="W55" s="10"/>
      <c r="X55" s="10"/>
      <c r="Y55" s="10"/>
      <c r="Z55" s="10"/>
    </row>
    <row r="56" ht="15.0" customHeight="1">
      <c r="A56" s="78" t="s">
        <v>196</v>
      </c>
      <c r="B56" s="102">
        <f>B55</f>
        <v>-1892.4</v>
      </c>
      <c r="C56" s="102">
        <f t="shared" ref="C56:I56" si="13">B56+C55</f>
        <v>-2239.046925</v>
      </c>
      <c r="D56" s="102">
        <f t="shared" si="13"/>
        <v>-2005.299925</v>
      </c>
      <c r="E56" s="102">
        <f t="shared" si="13"/>
        <v>-1168.945533</v>
      </c>
      <c r="F56" s="102">
        <f t="shared" si="13"/>
        <v>167.1766978</v>
      </c>
      <c r="G56" s="102">
        <f t="shared" si="13"/>
        <v>2780.029985</v>
      </c>
      <c r="H56" s="102">
        <f t="shared" si="13"/>
        <v>5822.625288</v>
      </c>
      <c r="I56" s="102">
        <f t="shared" si="13"/>
        <v>9355.271127</v>
      </c>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0" customHeight="1">
      <c r="A58" s="130" t="s">
        <v>198</v>
      </c>
      <c r="B58" s="3"/>
      <c r="C58" s="3"/>
      <c r="D58" s="3"/>
      <c r="E58" s="3"/>
      <c r="F58" s="3"/>
      <c r="G58" s="3"/>
      <c r="H58" s="3"/>
      <c r="I58" s="5"/>
      <c r="J58" s="10"/>
      <c r="K58" s="10"/>
      <c r="L58" s="10"/>
      <c r="M58" s="10"/>
      <c r="N58" s="10"/>
      <c r="O58" s="10"/>
      <c r="P58" s="10"/>
      <c r="Q58" s="10"/>
      <c r="R58" s="10"/>
      <c r="S58" s="10"/>
      <c r="T58" s="10"/>
      <c r="U58" s="10"/>
      <c r="V58" s="10"/>
      <c r="W58" s="10"/>
      <c r="X58" s="10"/>
      <c r="Y58" s="10"/>
      <c r="Z58" s="10"/>
    </row>
    <row r="59" ht="15.0" customHeight="1">
      <c r="A59" s="53" t="s">
        <v>200</v>
      </c>
      <c r="B59" s="115">
        <v>1.0</v>
      </c>
      <c r="C59" s="134">
        <f>1/(1+'1. Giả định &amp; Thông số'!$B$17)^1</f>
        <v>0.8747375787</v>
      </c>
      <c r="D59" s="134">
        <f>1/(1+'1. Giả định &amp; Thông số'!$B$17)^2</f>
        <v>0.7651658316</v>
      </c>
      <c r="E59" s="134">
        <f>1/(1+'1. Giả định &amp; Thông số'!$B$17)^3</f>
        <v>0.6693193069</v>
      </c>
      <c r="F59" s="134">
        <f>1/(1+'1. Giả định &amp; Thông số'!$B$17)^4</f>
        <v>0.5854787499</v>
      </c>
      <c r="G59" s="134">
        <f>1/(1+'1. Giả định &amp; Thông số'!$B$17)^5</f>
        <v>0.5121402641</v>
      </c>
      <c r="H59" s="134">
        <f>1/(1+'1. Giả định &amp; Thông số'!$B$17)^6</f>
        <v>0.4479883346</v>
      </c>
      <c r="I59" s="134">
        <f>1/(1+'1. Giả định &amp; Thông số'!$B$17)^7</f>
        <v>0.3918722311</v>
      </c>
      <c r="J59" s="10"/>
      <c r="K59" s="10"/>
      <c r="L59" s="10"/>
      <c r="M59" s="10"/>
      <c r="N59" s="10"/>
      <c r="O59" s="10"/>
      <c r="P59" s="10"/>
      <c r="Q59" s="10"/>
      <c r="R59" s="10"/>
      <c r="S59" s="10"/>
      <c r="T59" s="10"/>
      <c r="U59" s="10"/>
      <c r="V59" s="10"/>
      <c r="W59" s="10"/>
      <c r="X59" s="10"/>
      <c r="Y59" s="10"/>
      <c r="Z59" s="10"/>
    </row>
    <row r="60" ht="15.0" customHeight="1">
      <c r="A60" s="139" t="s">
        <v>207</v>
      </c>
      <c r="B60" s="141">
        <f t="shared" ref="B60:I60" si="14">B55*B59</f>
        <v>-1892.4</v>
      </c>
      <c r="C60" s="141">
        <f t="shared" si="14"/>
        <v>-303.2250915</v>
      </c>
      <c r="D60" s="141">
        <f t="shared" si="14"/>
        <v>178.8552175</v>
      </c>
      <c r="E60" s="141">
        <f t="shared" si="14"/>
        <v>559.788142</v>
      </c>
      <c r="F60" s="141">
        <f t="shared" si="14"/>
        <v>782.2711732</v>
      </c>
      <c r="G60" s="141">
        <f t="shared" si="14"/>
        <v>1338.147373</v>
      </c>
      <c r="H60" s="141">
        <f t="shared" si="14"/>
        <v>1363.047202</v>
      </c>
      <c r="I60" s="141">
        <f t="shared" si="14"/>
        <v>1384.345807</v>
      </c>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0" customHeight="1">
      <c r="A62" s="144" t="s">
        <v>211</v>
      </c>
      <c r="B62" s="11"/>
      <c r="C62" s="11"/>
      <c r="D62" s="11"/>
      <c r="E62" s="11"/>
      <c r="F62" s="11"/>
      <c r="G62" s="12"/>
      <c r="H62" s="10"/>
      <c r="I62" s="10"/>
      <c r="J62" s="10"/>
      <c r="K62" s="10"/>
      <c r="L62" s="10"/>
      <c r="M62" s="10"/>
      <c r="N62" s="10"/>
      <c r="O62" s="10"/>
      <c r="P62" s="10"/>
      <c r="Q62" s="10"/>
      <c r="R62" s="10"/>
      <c r="S62" s="10"/>
      <c r="T62" s="10"/>
      <c r="U62" s="10"/>
      <c r="V62" s="10"/>
      <c r="W62" s="10"/>
      <c r="X62" s="10"/>
      <c r="Y62" s="10"/>
      <c r="Z62" s="10"/>
    </row>
    <row r="63" ht="30.0" customHeight="1">
      <c r="A63" s="145" t="s">
        <v>213</v>
      </c>
      <c r="B63" s="146">
        <f>SUM(B60:I60)</f>
        <v>3410.829823</v>
      </c>
      <c r="C63" s="147"/>
      <c r="D63" s="20"/>
      <c r="E63" s="20"/>
      <c r="F63" s="20"/>
      <c r="G63" s="21"/>
      <c r="H63" s="10"/>
      <c r="I63" s="10"/>
      <c r="J63" s="10"/>
      <c r="K63" s="10"/>
      <c r="L63" s="10"/>
      <c r="M63" s="10"/>
      <c r="N63" s="10"/>
      <c r="O63" s="10"/>
      <c r="P63" s="10"/>
      <c r="Q63" s="10"/>
      <c r="R63" s="10"/>
      <c r="S63" s="10"/>
      <c r="T63" s="10"/>
      <c r="U63" s="10"/>
      <c r="V63" s="10"/>
      <c r="W63" s="10"/>
      <c r="X63" s="10"/>
      <c r="Y63" s="10"/>
      <c r="Z63" s="10"/>
    </row>
    <row r="64" ht="15.0" customHeight="1">
      <c r="A64" s="145" t="s">
        <v>214</v>
      </c>
      <c r="B64" s="149">
        <f>IFERROR(IRR(B55:I55,0.1),"N/A - check cash flows")</f>
        <v>0.3798673789</v>
      </c>
      <c r="C64" s="150"/>
      <c r="D64" s="20"/>
      <c r="E64" s="20"/>
      <c r="F64" s="20"/>
      <c r="G64" s="21"/>
      <c r="H64" s="10"/>
      <c r="I64" s="10"/>
      <c r="J64" s="10"/>
      <c r="K64" s="10"/>
      <c r="L64" s="10"/>
      <c r="M64" s="10"/>
      <c r="N64" s="10"/>
      <c r="O64" s="10"/>
      <c r="P64" s="10"/>
      <c r="Q64" s="10"/>
      <c r="R64" s="10"/>
      <c r="S64" s="10"/>
      <c r="T64" s="10"/>
      <c r="U64" s="10"/>
      <c r="V64" s="10"/>
      <c r="W64" s="10"/>
      <c r="X64" s="10"/>
      <c r="Y64" s="10"/>
      <c r="Z64" s="10"/>
    </row>
    <row r="65" ht="15.0" customHeight="1">
      <c r="A65" s="145" t="s">
        <v>216</v>
      </c>
      <c r="B65" s="151">
        <f>(B63+ABS(B55))/ABS(B55)</f>
        <v>2.802383123</v>
      </c>
      <c r="C65" s="153"/>
      <c r="D65" s="20"/>
      <c r="E65" s="20"/>
      <c r="F65" s="20"/>
      <c r="G65" s="21"/>
      <c r="H65" s="10"/>
      <c r="I65" s="10"/>
      <c r="J65" s="10"/>
      <c r="K65" s="10"/>
      <c r="L65" s="10"/>
      <c r="M65" s="10"/>
      <c r="N65" s="10"/>
      <c r="O65" s="10"/>
      <c r="P65" s="10"/>
      <c r="Q65" s="10"/>
      <c r="R65" s="10"/>
      <c r="S65" s="10"/>
      <c r="T65" s="10"/>
      <c r="U65" s="10"/>
      <c r="V65" s="10"/>
      <c r="W65" s="10"/>
      <c r="X65" s="10"/>
      <c r="Y65" s="10"/>
      <c r="Z65" s="10"/>
    </row>
    <row r="66" ht="30.0" customHeight="1">
      <c r="A66" s="145" t="s">
        <v>219</v>
      </c>
      <c r="B66" s="155">
        <f t="array" ref="B66">IF(I56&lt;0,"Chưa hoàn vốn",
 ROUND(COUNTIF(B56:I56,"&lt;0")-1
 +ABS(INDEX(B56:I56,COUNTIF(B56:I56,"&lt;0")))
 /INDEX(B55:I55,COUNTIF(B56:I56,"&lt;0")+1),2))</f>
        <v>3.87</v>
      </c>
      <c r="C66" s="153"/>
      <c r="D66" s="20"/>
      <c r="E66" s="20"/>
      <c r="F66" s="20"/>
      <c r="G66" s="21"/>
      <c r="H66" s="10"/>
      <c r="I66" s="10"/>
      <c r="J66" s="10"/>
      <c r="K66" s="10"/>
      <c r="L66" s="10"/>
      <c r="M66" s="10"/>
      <c r="N66" s="10"/>
      <c r="O66" s="10"/>
      <c r="P66" s="10"/>
      <c r="Q66" s="10"/>
      <c r="R66" s="10"/>
      <c r="S66" s="10"/>
      <c r="T66" s="10"/>
      <c r="U66" s="10"/>
      <c r="V66" s="10"/>
      <c r="W66" s="10"/>
      <c r="X66" s="10"/>
      <c r="Y66" s="10"/>
      <c r="Z66" s="10"/>
    </row>
    <row r="67" ht="15.0" customHeight="1">
      <c r="A67" s="145" t="s">
        <v>222</v>
      </c>
      <c r="B67" s="156">
        <f>'1. Giả định &amp; Thông số'!$B$17</f>
        <v>0.1432</v>
      </c>
      <c r="C67" s="157"/>
      <c r="D67" s="20"/>
      <c r="E67" s="20"/>
      <c r="F67" s="20"/>
      <c r="G67" s="21"/>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mergeCells count="14">
    <mergeCell ref="A58:I58"/>
    <mergeCell ref="A62:G62"/>
    <mergeCell ref="C63:G63"/>
    <mergeCell ref="C64:G64"/>
    <mergeCell ref="C65:G65"/>
    <mergeCell ref="C66:G66"/>
    <mergeCell ref="C67:G67"/>
    <mergeCell ref="A1:I1"/>
    <mergeCell ref="A2:G2"/>
    <mergeCell ref="A4:I4"/>
    <mergeCell ref="A17:I17"/>
    <mergeCell ref="A39:I39"/>
    <mergeCell ref="A43:I43"/>
    <mergeCell ref="A51:I51"/>
  </mergeCells>
  <printOptions/>
  <pageMargins bottom="1.0" footer="0.0" header="0.0" left="0.75" right="0.75" top="1.0"/>
  <pageSetup paperSize="9"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0"/>
    <col customWidth="1" min="2" max="6" width="15.0"/>
    <col customWidth="1" min="7" max="7" width="17.29"/>
    <col customWidth="1" min="8" max="8" width="10.14"/>
    <col customWidth="1" min="9" max="9" width="12.29"/>
    <col customWidth="1" min="10" max="24" width="8.57"/>
  </cols>
  <sheetData>
    <row r="1" ht="36.0" customHeight="1">
      <c r="A1" s="1" t="s">
        <v>3</v>
      </c>
      <c r="B1" s="3"/>
      <c r="C1" s="3"/>
      <c r="D1" s="3"/>
      <c r="E1" s="3"/>
      <c r="F1" s="3"/>
      <c r="G1" s="5"/>
      <c r="H1" s="10"/>
      <c r="I1" s="10"/>
      <c r="J1" s="10"/>
      <c r="K1" s="10"/>
      <c r="L1" s="10"/>
      <c r="M1" s="10"/>
      <c r="N1" s="10"/>
      <c r="O1" s="10"/>
      <c r="P1" s="10"/>
      <c r="Q1" s="10"/>
      <c r="R1" s="10"/>
      <c r="S1" s="10"/>
      <c r="T1" s="10"/>
      <c r="U1" s="10"/>
      <c r="V1" s="10"/>
      <c r="W1" s="10"/>
      <c r="X1" s="10"/>
    </row>
    <row r="2" ht="31.5" customHeight="1">
      <c r="A2" s="9" t="s">
        <v>4</v>
      </c>
      <c r="B2" s="9" t="s">
        <v>5</v>
      </c>
      <c r="C2" s="9" t="s">
        <v>6</v>
      </c>
      <c r="D2" s="9" t="s">
        <v>7</v>
      </c>
      <c r="E2" s="9" t="s">
        <v>8</v>
      </c>
      <c r="F2" s="9" t="s">
        <v>9</v>
      </c>
      <c r="G2" s="9" t="s">
        <v>10</v>
      </c>
      <c r="H2" s="17" t="s">
        <v>11</v>
      </c>
      <c r="I2" s="17" t="s">
        <v>12</v>
      </c>
      <c r="J2" s="10"/>
      <c r="K2" s="10"/>
      <c r="L2" s="10"/>
      <c r="M2" s="10"/>
      <c r="N2" s="10"/>
      <c r="O2" s="10"/>
      <c r="P2" s="10"/>
      <c r="Q2" s="10"/>
      <c r="R2" s="10"/>
      <c r="S2" s="10"/>
      <c r="T2" s="10"/>
      <c r="U2" s="10"/>
      <c r="V2" s="10"/>
      <c r="W2" s="10"/>
      <c r="X2" s="10"/>
    </row>
    <row r="3" ht="24.0" customHeight="1">
      <c r="A3" s="19" t="s">
        <v>20</v>
      </c>
      <c r="B3" s="20"/>
      <c r="C3" s="20"/>
      <c r="D3" s="20"/>
      <c r="E3" s="20"/>
      <c r="F3" s="20"/>
      <c r="G3" s="21"/>
      <c r="H3" s="10"/>
      <c r="J3" s="10"/>
      <c r="K3" s="10"/>
      <c r="L3" s="10"/>
      <c r="M3" s="10"/>
      <c r="N3" s="10"/>
      <c r="O3" s="10"/>
      <c r="P3" s="10"/>
      <c r="Q3" s="10"/>
      <c r="R3" s="10"/>
      <c r="S3" s="10"/>
      <c r="T3" s="10"/>
      <c r="U3" s="10"/>
      <c r="V3" s="10"/>
      <c r="W3" s="10"/>
      <c r="X3" s="10"/>
    </row>
    <row r="4" ht="18.0" customHeight="1">
      <c r="A4" s="24" t="s">
        <v>23</v>
      </c>
      <c r="B4" s="28">
        <f>'1. Giả định &amp; Thông số'!B21*'1. Giả định &amp; Thông số'!$J$21*12</f>
        <v>120</v>
      </c>
      <c r="C4" s="28">
        <f>'1. Giả định &amp; Thông số'!$C$21*'1. Giả định &amp; Thông số'!$J$21*12*(1+'1. Giả định &amp; Thông số'!$B$27)^0</f>
        <v>120</v>
      </c>
      <c r="D4" s="28">
        <f>'1. Giả định &amp; Thông số'!$D$21*'1. Giả định &amp; Thông số'!$J$21*12*(1+'1. Giả định &amp; Thông số'!$B$27)^1</f>
        <v>126</v>
      </c>
      <c r="E4" s="28">
        <f>'1. Giả định &amp; Thông số'!$E$21*'1. Giả định &amp; Thông số'!$J$21*12*(1+'1. Giả định &amp; Thông số'!$B$27)^2</f>
        <v>132.3</v>
      </c>
      <c r="F4" s="28">
        <f>'1. Giả định &amp; Thông số'!$F$21*'1. Giả định &amp; Thông số'!$J$21*12*(1+'1. Giả định &amp; Thông số'!$B$27)^3</f>
        <v>277.83</v>
      </c>
      <c r="G4" s="28">
        <f>'1. Giả định &amp; Thông số'!$G$21*'1. Giả định &amp; Thông số'!$J$21*12*(1+'1. Giả định &amp; Thông số'!$B$27)^4</f>
        <v>291.7215</v>
      </c>
      <c r="H4" s="28">
        <f>'1. Giả định &amp; Thông số'!$H$21*'1. Giả định &amp; Thông số'!$J$21*12*(1+'1. Giả định &amp; Thông số'!$B$27)^5</f>
        <v>306.307575</v>
      </c>
      <c r="I4" s="28">
        <f>'1. Giả định &amp; Thông số'!$G$21*'1. Giả định &amp; Thông số'!$J$21*12*(1+'1. Giả định &amp; Thông số'!$B$27)^6</f>
        <v>321.6229538</v>
      </c>
      <c r="J4" s="10"/>
      <c r="K4" s="10"/>
      <c r="L4" s="10"/>
      <c r="M4" s="10"/>
      <c r="N4" s="10"/>
      <c r="O4" s="10"/>
      <c r="P4" s="10"/>
      <c r="Q4" s="10"/>
      <c r="R4" s="10"/>
      <c r="S4" s="10"/>
      <c r="T4" s="10"/>
      <c r="U4" s="10"/>
      <c r="V4" s="10"/>
      <c r="W4" s="10"/>
      <c r="X4" s="10"/>
    </row>
    <row r="5" ht="18.0" customHeight="1">
      <c r="A5" s="24" t="s">
        <v>59</v>
      </c>
      <c r="B5" s="26">
        <f>'1. Giả định &amp; Thông số'!B22*'1. Giả định &amp; Thông số'!$J$22*12</f>
        <v>96</v>
      </c>
      <c r="C5" s="28">
        <f>'1. Giả định &amp; Thông số'!$C$22*'1. Giả định &amp; Thông số'!$J$22*12*(1+'1. Giả định &amp; Thông số'!$B$27)^0</f>
        <v>192</v>
      </c>
      <c r="D5" s="28">
        <f>'1. Giả định &amp; Thông số'!$D$22*'1. Giả định &amp; Thông số'!$J$22*12*(1+'1. Giả định &amp; Thông số'!$B$27)^1</f>
        <v>201.6</v>
      </c>
      <c r="E5" s="28">
        <f>'1. Giả định &amp; Thông số'!$E$22*'1. Giả định &amp; Thông số'!$J$22*12*(1+'1. Giả định &amp; Thông số'!$B$27)^2</f>
        <v>317.52</v>
      </c>
      <c r="F5" s="28">
        <f>'1. Giả định &amp; Thông số'!$F$22*'1. Giả định &amp; Thông số'!$J$22*12*(1+'1. Giả định &amp; Thông số'!$B$27)^3</f>
        <v>444.528</v>
      </c>
      <c r="G5" s="28">
        <f>'1. Giả định &amp; Thông số'!$G$22*'1. Giả định &amp; Thông số'!$J$22*12*(1+'1. Giả định &amp; Thông số'!$B$27)^4</f>
        <v>466.7544</v>
      </c>
      <c r="H5" s="28">
        <f>'1. Giả định &amp; Thông số'!$H$22*'1. Giả định &amp; Thông số'!$J$22*12*(1+'1. Giả định &amp; Thông số'!$B$27)^5</f>
        <v>490.09212</v>
      </c>
      <c r="I5" s="28">
        <f>'1. Giả định &amp; Thông số'!$I$22*'1. Giả định &amp; Thông số'!$J$22*12*(1+'1. Giả định &amp; Thông số'!$B$27)^6</f>
        <v>514.596726</v>
      </c>
      <c r="J5" s="10"/>
      <c r="K5" s="10"/>
      <c r="L5" s="10"/>
      <c r="M5" s="10"/>
      <c r="N5" s="10"/>
      <c r="O5" s="10"/>
      <c r="P5" s="10"/>
      <c r="Q5" s="10"/>
      <c r="R5" s="10"/>
      <c r="S5" s="10"/>
      <c r="T5" s="10"/>
      <c r="U5" s="10"/>
      <c r="V5" s="10"/>
      <c r="W5" s="10"/>
      <c r="X5" s="10"/>
    </row>
    <row r="6" ht="18.0" customHeight="1">
      <c r="A6" s="24" t="s">
        <v>95</v>
      </c>
      <c r="B6" s="26">
        <f>'1. Giả định &amp; Thông số'!B23*'1. Giả định &amp; Thông số'!$J$23*12</f>
        <v>84</v>
      </c>
      <c r="C6" s="28">
        <f>'1. Giả định &amp; Thông số'!$C$23*'1. Giả định &amp; Thông số'!$J$23*12*(1+'1. Giả định &amp; Thông số'!$B$27)^0</f>
        <v>84</v>
      </c>
      <c r="D6" s="28">
        <f>'1. Giả định &amp; Thông số'!$D$23*'1. Giả định &amp; Thông số'!$J$23*12*(1+'1. Giả định &amp; Thông số'!$B$27)^1</f>
        <v>88.2</v>
      </c>
      <c r="E6" s="28">
        <f>'1. Giả định &amp; Thông số'!$E$23*'1. Giả định &amp; Thông số'!$J$23*12*(1+'1. Giả định &amp; Thông số'!$B$27)^2</f>
        <v>92.61</v>
      </c>
      <c r="F6" s="28">
        <f>'1. Giả định &amp; Thông số'!$F$23*'1. Giả định &amp; Thông số'!$J$23*12*(1+'1. Giả định &amp; Thông số'!$B$27)^3</f>
        <v>194.481</v>
      </c>
      <c r="G6" s="28">
        <f>'1. Giả định &amp; Thông số'!$G$23*'1. Giả định &amp; Thông số'!$J$23*12*(1+'1. Giả định &amp; Thông số'!$B$27)^4</f>
        <v>204.20505</v>
      </c>
      <c r="H6" s="28">
        <f>'1. Giả định &amp; Thông số'!$H$23*'1. Giả định &amp; Thông số'!$J$23*12*(1+'1. Giả định &amp; Thông số'!$B$27)^5</f>
        <v>214.4153025</v>
      </c>
      <c r="I6" s="28">
        <f>'1. Giả định &amp; Thông số'!$I$23*'1. Giả định &amp; Thông số'!$J$23*12*(1+'1. Giả định &amp; Thông số'!$B$27)^6</f>
        <v>225.1360676</v>
      </c>
      <c r="J6" s="10"/>
      <c r="K6" s="10"/>
      <c r="L6" s="10"/>
      <c r="M6" s="10"/>
      <c r="N6" s="10"/>
      <c r="O6" s="10"/>
      <c r="P6" s="10"/>
      <c r="Q6" s="10"/>
      <c r="R6" s="10"/>
      <c r="S6" s="10"/>
      <c r="T6" s="10"/>
      <c r="U6" s="10"/>
      <c r="V6" s="10"/>
      <c r="W6" s="10"/>
      <c r="X6" s="10"/>
    </row>
    <row r="7" ht="18.0" customHeight="1">
      <c r="A7" s="24" t="s">
        <v>132</v>
      </c>
      <c r="B7" s="26">
        <f>'1. Giả định &amp; Thông số'!B24*'1. Giả định &amp; Thông số'!$J$24*12</f>
        <v>72</v>
      </c>
      <c r="C7" s="28">
        <f>'1. Giả định &amp; Thông số'!$C$24*'1. Giả định &amp; Thông số'!$J$24*12*(1+'1. Giả định &amp; Thông số'!$B$27)^0</f>
        <v>72</v>
      </c>
      <c r="D7" s="28">
        <f>'1. Giả định &amp; Thông số'!$D$24*'1. Giả định &amp; Thông số'!$J$24*12*(1+'1. Giả định &amp; Thông số'!$B$27)^1</f>
        <v>75.6</v>
      </c>
      <c r="E7" s="28">
        <f>'1. Giả định &amp; Thông số'!$E$24*'1. Giả định &amp; Thông số'!$J$24*12*(1+'1. Giả định &amp; Thông số'!$B$27)^2</f>
        <v>158.76</v>
      </c>
      <c r="F7" s="28">
        <f>'1. Giả định &amp; Thông số'!$F$24*'1. Giả định &amp; Thông số'!$J$24*12*(1+'1. Giả định &amp; Thông số'!$B$27)^3</f>
        <v>166.698</v>
      </c>
      <c r="G7" s="28">
        <f>'1. Giả định &amp; Thông số'!$G$24*'1. Giả định &amp; Thông số'!$J$24*12*(1+'1. Giả định &amp; Thông số'!$B$27)^4</f>
        <v>262.54935</v>
      </c>
      <c r="H7" s="28">
        <f>'1. Giả định &amp; Thông số'!$H$24*'1. Giả định &amp; Thông số'!$J$24*12*(1+'1. Giả định &amp; Thông số'!$B$27)^5</f>
        <v>275.6768175</v>
      </c>
      <c r="I7" s="28">
        <f>'1. Giả định &amp; Thông số'!$I$24*'1. Giả định &amp; Thông số'!$J$24*12*(1+'1. Giả định &amp; Thông số'!$B$27)^6</f>
        <v>289.4606584</v>
      </c>
      <c r="J7" s="10"/>
      <c r="K7" s="10"/>
      <c r="L7" s="10"/>
      <c r="M7" s="10"/>
      <c r="N7" s="10"/>
      <c r="O7" s="10"/>
      <c r="P7" s="10"/>
      <c r="Q7" s="10"/>
      <c r="R7" s="10"/>
      <c r="S7" s="10"/>
      <c r="T7" s="10"/>
      <c r="U7" s="10"/>
      <c r="V7" s="10"/>
      <c r="W7" s="10"/>
      <c r="X7" s="10"/>
    </row>
    <row r="8" ht="18.0" customHeight="1">
      <c r="A8" s="24" t="s">
        <v>81</v>
      </c>
      <c r="B8" s="26">
        <f>'1. Giả định &amp; Thông số'!B25*'1. Giả định &amp; Thông số'!$J$25*12</f>
        <v>72</v>
      </c>
      <c r="C8" s="28">
        <f>'1. Giả định &amp; Thông số'!$C$25*'1. Giả định &amp; Thông số'!$J$25*12*(1+'1. Giả định &amp; Thông số'!$B$27)^0</f>
        <v>72</v>
      </c>
      <c r="D8" s="28">
        <f>'1. Giả định &amp; Thông số'!$D$25*'1. Giả định &amp; Thông số'!$J$25*12*(1+'1. Giả định &amp; Thông số'!$B$27)^1</f>
        <v>75.6</v>
      </c>
      <c r="E8" s="28">
        <f>'1. Giả định &amp; Thông số'!$E$25*'1. Giả định &amp; Thông số'!$J$25*12*(1+'1. Giả định &amp; Thông số'!$B$27)^2</f>
        <v>79.38</v>
      </c>
      <c r="F8" s="28">
        <f>'1. Giả định &amp; Thông số'!$F$25*'1. Giả định &amp; Thông số'!$J$25*12*(1+'1. Giả định &amp; Thông số'!$B$27)^3</f>
        <v>166.698</v>
      </c>
      <c r="G8" s="28">
        <f>'1. Giả định &amp; Thông số'!$G$25*'1. Giả định &amp; Thông số'!$J$25*12*(1+'1. Giả định &amp; Thông số'!$B$27)^4</f>
        <v>175.0329</v>
      </c>
      <c r="H8" s="28">
        <f>'1. Giả định &amp; Thông số'!$H$25*'1. Giả định &amp; Thông số'!$J$25*12*(1+'1. Giả định &amp; Thông số'!$B$27)^5</f>
        <v>275.6768175</v>
      </c>
      <c r="I8" s="28">
        <f>'1. Giả định &amp; Thông số'!$I$25*'1. Giả định &amp; Thông số'!$J$25*12*(1+'1. Giả định &amp; Thông số'!$B$27)^6</f>
        <v>289.4606584</v>
      </c>
      <c r="J8" s="10"/>
      <c r="K8" s="10"/>
      <c r="L8" s="10"/>
      <c r="M8" s="10"/>
      <c r="N8" s="10"/>
      <c r="O8" s="10"/>
      <c r="P8" s="10"/>
      <c r="Q8" s="10"/>
      <c r="R8" s="10"/>
      <c r="S8" s="10"/>
      <c r="T8" s="10"/>
      <c r="U8" s="10"/>
      <c r="V8" s="10"/>
      <c r="W8" s="10"/>
      <c r="X8" s="10"/>
    </row>
    <row r="9" ht="18.0" customHeight="1">
      <c r="A9" s="24" t="s">
        <v>153</v>
      </c>
      <c r="B9" s="26">
        <f>'1. Giả định &amp; Thông số'!B26*'1. Giả định &amp; Thông số'!$J$26*12</f>
        <v>0</v>
      </c>
      <c r="C9" s="28">
        <f>'1. Giả định &amp; Thông số'!$C$26*'1. Giả định &amp; Thông số'!$J$26*12*(1+'1. Giả định &amp; Thông số'!$B$27)^0</f>
        <v>84</v>
      </c>
      <c r="D9" s="28">
        <f>'1. Giả định &amp; Thông số'!$D$26*'1. Giả định &amp; Thông số'!$J$26*12*(1+'1. Giả định &amp; Thông số'!$B$27)^1</f>
        <v>176.4</v>
      </c>
      <c r="E9" s="28">
        <f>'1. Giả định &amp; Thông số'!$E$26*'1. Giả định &amp; Thông số'!$J$26*12*(1+'1. Giả định &amp; Thông số'!$B$27)^2</f>
        <v>185.22</v>
      </c>
      <c r="F9" s="28">
        <f>'1. Giả định &amp; Thông số'!$F$26*'1. Giả định &amp; Thông số'!$J$26*12*(1+'1. Giả định &amp; Thông số'!$B$27)^3</f>
        <v>194.481</v>
      </c>
      <c r="G9" s="28">
        <f>'1. Giả định &amp; Thông số'!$G$26*'1. Giả định &amp; Thông số'!$J$26*12*(1+'1. Giả định &amp; Thông số'!$B$27)^4</f>
        <v>204.20505</v>
      </c>
      <c r="H9" s="28">
        <f>'1. Giả định &amp; Thông số'!$H$26*'1. Giả định &amp; Thông số'!$J$26*12*(1+'1. Giả định &amp; Thông số'!$B$27)^5</f>
        <v>321.6229538</v>
      </c>
      <c r="I9" s="28">
        <f>'1. Giả định &amp; Thông số'!$I$26*'1. Giả định &amp; Thông số'!$J$26*12*(1+'1. Giả định &amp; Thông số'!$B$27)^6</f>
        <v>337.7041014</v>
      </c>
      <c r="J9" s="10"/>
      <c r="K9" s="10"/>
      <c r="L9" s="10"/>
      <c r="M9" s="10"/>
      <c r="N9" s="10"/>
      <c r="O9" s="10"/>
      <c r="P9" s="10"/>
      <c r="Q9" s="10"/>
      <c r="R9" s="10"/>
      <c r="S9" s="10"/>
      <c r="T9" s="10"/>
      <c r="U9" s="10"/>
      <c r="V9" s="10"/>
      <c r="W9" s="10"/>
      <c r="X9" s="10"/>
    </row>
    <row r="10" ht="18.0" customHeight="1">
      <c r="A10" s="14" t="s">
        <v>159</v>
      </c>
      <c r="B10" s="75">
        <f>SUM(B3:B9)</f>
        <v>444</v>
      </c>
      <c r="C10" s="75">
        <f t="shared" ref="C10:I10" si="1">SUM(C4:C9)</f>
        <v>624</v>
      </c>
      <c r="D10" s="75">
        <f t="shared" si="1"/>
        <v>743.4</v>
      </c>
      <c r="E10" s="75">
        <f t="shared" si="1"/>
        <v>965.79</v>
      </c>
      <c r="F10" s="75">
        <f t="shared" si="1"/>
        <v>1444.716</v>
      </c>
      <c r="G10" s="75">
        <f t="shared" si="1"/>
        <v>1604.46825</v>
      </c>
      <c r="H10" s="75">
        <f t="shared" si="1"/>
        <v>1883.791586</v>
      </c>
      <c r="I10" s="75">
        <f t="shared" si="1"/>
        <v>1977.981166</v>
      </c>
      <c r="J10" s="10"/>
      <c r="K10" s="10"/>
      <c r="L10" s="10"/>
      <c r="M10" s="10"/>
      <c r="N10" s="10"/>
      <c r="O10" s="10"/>
      <c r="P10" s="10"/>
      <c r="Q10" s="10"/>
      <c r="R10" s="10"/>
      <c r="S10" s="10"/>
      <c r="T10" s="10"/>
      <c r="U10" s="10"/>
      <c r="V10" s="10"/>
      <c r="W10" s="10"/>
      <c r="X10" s="10"/>
    </row>
    <row r="11" ht="6.0" customHeight="1">
      <c r="A11" s="10"/>
      <c r="B11" s="10"/>
      <c r="C11" s="10"/>
      <c r="D11" s="10"/>
      <c r="E11" s="10"/>
      <c r="F11" s="10"/>
      <c r="G11" s="10"/>
      <c r="H11" s="10"/>
      <c r="I11" s="10"/>
      <c r="J11" s="10"/>
      <c r="K11" s="10"/>
      <c r="L11" s="10"/>
      <c r="M11" s="10"/>
      <c r="N11" s="10"/>
      <c r="O11" s="10"/>
      <c r="P11" s="10"/>
      <c r="Q11" s="10"/>
      <c r="R11" s="10"/>
      <c r="S11" s="10"/>
      <c r="T11" s="10"/>
      <c r="U11" s="10"/>
      <c r="V11" s="10"/>
      <c r="W11" s="10"/>
      <c r="X11" s="10"/>
    </row>
    <row r="12" ht="24.75" customHeight="1">
      <c r="A12" s="103" t="s">
        <v>162</v>
      </c>
      <c r="B12" s="3"/>
      <c r="C12" s="3"/>
      <c r="D12" s="3"/>
      <c r="E12" s="3"/>
      <c r="F12" s="3"/>
      <c r="G12" s="5"/>
      <c r="H12" s="10"/>
      <c r="I12" s="10"/>
      <c r="J12" s="10"/>
      <c r="K12" s="10"/>
      <c r="L12" s="10"/>
      <c r="M12" s="10"/>
      <c r="N12" s="10"/>
      <c r="O12" s="10"/>
      <c r="P12" s="10"/>
      <c r="Q12" s="10"/>
      <c r="R12" s="10"/>
      <c r="S12" s="10"/>
      <c r="T12" s="10"/>
      <c r="U12" s="10"/>
      <c r="V12" s="10"/>
      <c r="W12" s="10"/>
      <c r="X12" s="10"/>
    </row>
    <row r="13" ht="18.0" customHeight="1">
      <c r="A13" s="24" t="s">
        <v>165</v>
      </c>
      <c r="B13" s="28" t="s">
        <v>18</v>
      </c>
      <c r="C13" s="28">
        <f>'1. Giả định &amp; Thông số'!$B$42*'1. Giả định &amp; Thông số'!$B$5</f>
        <v>270</v>
      </c>
      <c r="D13" s="28">
        <f>'1. Giả định &amp; Thông số'!$B$42*'1. Giả định &amp; Thông số'!$B$5</f>
        <v>270</v>
      </c>
      <c r="E13" s="28">
        <f>'1. Giả định &amp; Thông số'!$B$42*'1. Giả định &amp; Thông số'!$B$5</f>
        <v>270</v>
      </c>
      <c r="F13" s="28">
        <f>'1. Giả định &amp; Thông số'!$B$42*'1. Giả định &amp; Thông số'!$B$5</f>
        <v>270</v>
      </c>
      <c r="G13" s="28">
        <f>'1. Giả định &amp; Thông số'!$B$42*'1. Giả định &amp; Thông số'!$B$5</f>
        <v>270</v>
      </c>
      <c r="H13" s="28">
        <f>'1. Giả định &amp; Thông số'!$B$42*'1. Giả định &amp; Thông số'!$B$5</f>
        <v>270</v>
      </c>
      <c r="I13" s="28">
        <f>'1. Giả định &amp; Thông số'!$B$42*'1. Giả định &amp; Thông số'!$B$5</f>
        <v>270</v>
      </c>
      <c r="J13" s="10"/>
      <c r="K13" s="10"/>
      <c r="L13" s="10"/>
      <c r="M13" s="10"/>
      <c r="N13" s="10"/>
      <c r="O13" s="10"/>
      <c r="P13" s="10"/>
      <c r="Q13" s="10"/>
      <c r="R13" s="10"/>
      <c r="S13" s="10"/>
      <c r="T13" s="10"/>
      <c r="U13" s="10"/>
      <c r="V13" s="10"/>
      <c r="W13" s="10"/>
      <c r="X13" s="10"/>
    </row>
    <row r="14" ht="28.5" customHeight="1">
      <c r="A14" s="25" t="s">
        <v>167</v>
      </c>
      <c r="B14" s="29" t="s">
        <v>18</v>
      </c>
      <c r="C14" s="29">
        <f>'1. Giả định &amp; Thông số'!$B$39*'2. Báo cáo Ngân lưu'!C15</f>
        <v>510.0000002</v>
      </c>
      <c r="D14" s="29">
        <f>'1. Giả định &amp; Thông số'!$B$39*'2. Báo cáo Ngân lưu'!D15</f>
        <v>695.6799997</v>
      </c>
      <c r="E14" s="29">
        <f>'1. Giả định &amp; Thông số'!$B$39*'2. Báo cáo Ngân lưu'!E15</f>
        <v>1077.12</v>
      </c>
      <c r="F14" s="29">
        <f>'1. Giả định &amp; Thông số'!$B$39*'2. Báo cáo Ngân lưu'!F15</f>
        <v>1494.400001</v>
      </c>
      <c r="G14" s="29">
        <f>'1. Giả định &amp; Thông số'!$B$39*'2. Báo cáo Ngân lưu'!G15</f>
        <v>1932.480001</v>
      </c>
      <c r="H14" s="29">
        <f>'1. Giả định &amp; Thông số'!$B$39*'2. Báo cáo Ngân lưu'!H15</f>
        <v>2178</v>
      </c>
      <c r="I14" s="29">
        <f>'1. Giả định &amp; Thông số'!$B$39*'2. Báo cáo Ngân lưu'!I15</f>
        <v>2421.21</v>
      </c>
      <c r="J14" s="10"/>
      <c r="K14" s="10"/>
      <c r="L14" s="10"/>
      <c r="M14" s="10"/>
      <c r="N14" s="10"/>
      <c r="O14" s="10"/>
      <c r="P14" s="10"/>
      <c r="Q14" s="10"/>
      <c r="R14" s="10"/>
      <c r="S14" s="10"/>
      <c r="T14" s="10"/>
      <c r="U14" s="10"/>
      <c r="V14" s="10"/>
      <c r="W14" s="10"/>
      <c r="X14" s="10"/>
    </row>
    <row r="15" ht="18.0" customHeight="1">
      <c r="A15" s="14" t="s">
        <v>170</v>
      </c>
      <c r="B15" s="75" t="s">
        <v>18</v>
      </c>
      <c r="C15" s="75">
        <f t="shared" ref="C15:I15" si="2">Sum(C13:C14)</f>
        <v>780.0000002</v>
      </c>
      <c r="D15" s="75">
        <f t="shared" si="2"/>
        <v>965.6799997</v>
      </c>
      <c r="E15" s="75">
        <f t="shared" si="2"/>
        <v>1347.12</v>
      </c>
      <c r="F15" s="75">
        <f t="shared" si="2"/>
        <v>1764.400001</v>
      </c>
      <c r="G15" s="75">
        <f t="shared" si="2"/>
        <v>2202.480001</v>
      </c>
      <c r="H15" s="75">
        <f t="shared" si="2"/>
        <v>2448</v>
      </c>
      <c r="I15" s="75">
        <f t="shared" si="2"/>
        <v>2691.21</v>
      </c>
      <c r="J15" s="10"/>
      <c r="K15" s="10"/>
      <c r="L15" s="10"/>
      <c r="M15" s="10"/>
      <c r="N15" s="10"/>
      <c r="O15" s="10"/>
      <c r="P15" s="10"/>
      <c r="Q15" s="10"/>
      <c r="R15" s="10"/>
      <c r="S15" s="10"/>
      <c r="T15" s="10"/>
      <c r="U15" s="10"/>
      <c r="V15" s="10"/>
      <c r="W15" s="10"/>
      <c r="X15" s="10"/>
    </row>
    <row r="16" ht="6.0" customHeight="1">
      <c r="A16" s="10"/>
      <c r="B16" s="10"/>
      <c r="C16" s="10"/>
      <c r="D16" s="10"/>
      <c r="E16" s="10"/>
      <c r="F16" s="10"/>
      <c r="G16" s="10"/>
      <c r="H16" s="10"/>
      <c r="I16" s="10"/>
      <c r="J16" s="10"/>
      <c r="K16" s="10"/>
      <c r="L16" s="10"/>
      <c r="M16" s="10"/>
      <c r="N16" s="10"/>
      <c r="O16" s="10"/>
      <c r="P16" s="10"/>
      <c r="Q16" s="10"/>
      <c r="R16" s="10"/>
      <c r="S16" s="10"/>
      <c r="T16" s="10"/>
      <c r="U16" s="10"/>
      <c r="V16" s="10"/>
      <c r="W16" s="10"/>
      <c r="X16" s="10"/>
    </row>
    <row r="17" ht="24.0" customHeight="1">
      <c r="A17" s="103" t="s">
        <v>172</v>
      </c>
      <c r="B17" s="3"/>
      <c r="C17" s="3"/>
      <c r="D17" s="3"/>
      <c r="E17" s="3"/>
      <c r="F17" s="3"/>
      <c r="G17" s="5"/>
      <c r="H17" s="10"/>
      <c r="I17" s="10"/>
      <c r="J17" s="10"/>
      <c r="K17" s="10"/>
      <c r="L17" s="10"/>
      <c r="M17" s="10"/>
      <c r="N17" s="10"/>
      <c r="O17" s="10"/>
      <c r="P17" s="10"/>
      <c r="Q17" s="10"/>
      <c r="R17" s="10"/>
      <c r="S17" s="10"/>
      <c r="T17" s="10"/>
      <c r="U17" s="10"/>
      <c r="V17" s="10"/>
      <c r="W17" s="10"/>
      <c r="X17" s="10"/>
    </row>
    <row r="18" ht="18.0" customHeight="1">
      <c r="A18" s="25" t="s">
        <v>173</v>
      </c>
      <c r="B18" s="29" t="s">
        <v>18</v>
      </c>
      <c r="C18" s="29">
        <f>'1. Giả định &amp; Thông số'!$B$40*'2. Báo cáo Ngân lưu'!C15</f>
        <v>306.0000001</v>
      </c>
      <c r="D18" s="29">
        <f>'1. Giả định &amp; Thông số'!$B$40*'2. Báo cáo Ngân lưu'!D15</f>
        <v>417.4079998</v>
      </c>
      <c r="E18" s="29">
        <f>'1. Giả định &amp; Thông số'!$B$40*'2. Báo cáo Ngân lưu'!E15</f>
        <v>646.272</v>
      </c>
      <c r="F18" s="29">
        <f>'1. Giả định &amp; Thông số'!$B$40*'2. Báo cáo Ngân lưu'!F15</f>
        <v>896.6400003</v>
      </c>
      <c r="G18" s="29">
        <f>'1. Giả định &amp; Thông số'!$B$40*'2. Báo cáo Ngân lưu'!G15</f>
        <v>1159.488</v>
      </c>
      <c r="H18" s="29">
        <f>'1. Giả định &amp; Thông số'!$B$40*'2. Báo cáo Ngân lưu'!H15</f>
        <v>1306.8</v>
      </c>
      <c r="I18" s="29">
        <f>'1. Giả định &amp; Thông số'!$B$40*'2. Báo cáo Ngân lưu'!I15</f>
        <v>1452.726</v>
      </c>
      <c r="J18" s="10"/>
      <c r="K18" s="10"/>
      <c r="L18" s="10"/>
      <c r="M18" s="10"/>
      <c r="N18" s="10"/>
      <c r="O18" s="10"/>
      <c r="P18" s="10"/>
      <c r="Q18" s="10"/>
      <c r="R18" s="10"/>
      <c r="S18" s="10"/>
      <c r="T18" s="10"/>
      <c r="U18" s="10"/>
      <c r="V18" s="10"/>
      <c r="W18" s="10"/>
      <c r="X18" s="10"/>
    </row>
    <row r="19" ht="18.0" customHeight="1">
      <c r="A19" s="25" t="s">
        <v>176</v>
      </c>
      <c r="B19" s="29" t="s">
        <v>18</v>
      </c>
      <c r="C19" s="29">
        <f>'1. Giả định &amp; Thông số'!$B$41*'2. Báo cáo Ngân lưu'!C15</f>
        <v>255.0000001</v>
      </c>
      <c r="D19" s="29">
        <f>'1. Giả định &amp; Thông số'!$B$41*'2. Báo cáo Ngân lưu'!D15</f>
        <v>347.8399999</v>
      </c>
      <c r="E19" s="29">
        <f>'1. Giả định &amp; Thông số'!$B$41*'2. Báo cáo Ngân lưu'!E15</f>
        <v>538.56</v>
      </c>
      <c r="F19" s="29">
        <f>'1. Giả định &amp; Thông số'!$B$41*'2. Báo cáo Ngân lưu'!F15</f>
        <v>747.2000003</v>
      </c>
      <c r="G19" s="29">
        <f>'1. Giả định &amp; Thông số'!$B$41*'2. Báo cáo Ngân lưu'!G15</f>
        <v>966.2400003</v>
      </c>
      <c r="H19" s="29">
        <f>'1. Giả định &amp; Thông số'!$B$41*'2. Báo cáo Ngân lưu'!H15</f>
        <v>1089</v>
      </c>
      <c r="I19" s="29">
        <f>'1. Giả định &amp; Thông số'!$B$41*'2. Báo cáo Ngân lưu'!I15</f>
        <v>1210.605</v>
      </c>
      <c r="J19" s="10"/>
      <c r="K19" s="10"/>
      <c r="L19" s="10"/>
      <c r="M19" s="10"/>
      <c r="N19" s="10"/>
      <c r="O19" s="10"/>
      <c r="P19" s="10"/>
      <c r="Q19" s="10"/>
      <c r="R19" s="10"/>
      <c r="S19" s="10"/>
      <c r="T19" s="10"/>
      <c r="U19" s="10"/>
      <c r="V19" s="10"/>
      <c r="W19" s="10"/>
      <c r="X19" s="10"/>
    </row>
    <row r="20" ht="18.0" customHeight="1">
      <c r="A20" s="14" t="s">
        <v>179</v>
      </c>
      <c r="B20" s="75" t="s">
        <v>18</v>
      </c>
      <c r="C20" s="75">
        <f t="shared" ref="C20:I20" si="3">sum(C18,C19)</f>
        <v>561.0000002</v>
      </c>
      <c r="D20" s="75">
        <f t="shared" si="3"/>
        <v>765.2479997</v>
      </c>
      <c r="E20" s="75">
        <f t="shared" si="3"/>
        <v>1184.832</v>
      </c>
      <c r="F20" s="75">
        <f t="shared" si="3"/>
        <v>1643.840001</v>
      </c>
      <c r="G20" s="75">
        <f t="shared" si="3"/>
        <v>2125.728001</v>
      </c>
      <c r="H20" s="75">
        <f t="shared" si="3"/>
        <v>2395.8</v>
      </c>
      <c r="I20" s="75">
        <f t="shared" si="3"/>
        <v>2663.331</v>
      </c>
      <c r="J20" s="10"/>
      <c r="K20" s="10"/>
      <c r="L20" s="10"/>
      <c r="M20" s="10"/>
      <c r="N20" s="10"/>
      <c r="O20" s="10"/>
      <c r="P20" s="10"/>
      <c r="Q20" s="10"/>
      <c r="R20" s="10"/>
      <c r="S20" s="10"/>
      <c r="T20" s="10"/>
      <c r="U20" s="10"/>
      <c r="V20" s="10"/>
      <c r="W20" s="10"/>
      <c r="X20" s="10"/>
    </row>
    <row r="21" ht="6.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row>
    <row r="22" ht="24.0" customHeight="1">
      <c r="A22" s="103" t="s">
        <v>182</v>
      </c>
      <c r="B22" s="3"/>
      <c r="C22" s="3"/>
      <c r="D22" s="3"/>
      <c r="E22" s="3"/>
      <c r="F22" s="3"/>
      <c r="G22" s="5"/>
      <c r="H22" s="10"/>
      <c r="I22" s="10"/>
      <c r="J22" s="10"/>
      <c r="K22" s="10"/>
      <c r="L22" s="10"/>
      <c r="M22" s="10"/>
      <c r="N22" s="10"/>
      <c r="O22" s="10"/>
      <c r="P22" s="10"/>
      <c r="Q22" s="10"/>
      <c r="R22" s="10"/>
      <c r="S22" s="10"/>
      <c r="T22" s="10"/>
      <c r="U22" s="10"/>
      <c r="V22" s="10"/>
      <c r="W22" s="10"/>
      <c r="X22" s="10"/>
    </row>
    <row r="23" ht="27.75" customHeight="1">
      <c r="A23" s="25" t="s">
        <v>184</v>
      </c>
      <c r="B23" s="112" t="s">
        <v>18</v>
      </c>
      <c r="C23" s="29">
        <f>'1. Giả định &amp; Thông số'!$B$43</f>
        <v>240</v>
      </c>
      <c r="D23" s="29">
        <f>'1. Giả định &amp; Thông số'!$B$43</f>
        <v>240</v>
      </c>
      <c r="E23" s="29">
        <f>'1. Giả định &amp; Thông số'!$B$43</f>
        <v>240</v>
      </c>
      <c r="F23" s="29">
        <f>'1. Giả định &amp; Thông số'!$B$43</f>
        <v>240</v>
      </c>
      <c r="G23" s="29">
        <f>'1. Giả định &amp; Thông số'!$B$43</f>
        <v>240</v>
      </c>
      <c r="H23" s="29">
        <f>'1. Giả định &amp; Thông số'!$B$43</f>
        <v>240</v>
      </c>
      <c r="I23" s="29">
        <f>'1. Giả định &amp; Thông số'!$B$43</f>
        <v>240</v>
      </c>
      <c r="J23" s="10"/>
      <c r="K23" s="10"/>
      <c r="L23" s="10"/>
      <c r="M23" s="10"/>
      <c r="N23" s="10"/>
      <c r="O23" s="10"/>
      <c r="P23" s="10"/>
      <c r="Q23" s="10"/>
      <c r="R23" s="10"/>
      <c r="S23" s="10"/>
      <c r="T23" s="10"/>
      <c r="U23" s="10"/>
      <c r="V23" s="10"/>
      <c r="W23" s="10"/>
      <c r="X23" s="10"/>
    </row>
    <row r="24" ht="18.0" customHeight="1">
      <c r="A24" s="25" t="s">
        <v>187</v>
      </c>
      <c r="B24" s="112" t="s">
        <v>18</v>
      </c>
      <c r="C24" s="29">
        <f>'1. Giả định &amp; Thông số'!$B$44</f>
        <v>30</v>
      </c>
      <c r="D24" s="29">
        <f>'1. Giả định &amp; Thông số'!$B$44</f>
        <v>30</v>
      </c>
      <c r="E24" s="29">
        <f>'1. Giả định &amp; Thông số'!$B$44</f>
        <v>30</v>
      </c>
      <c r="F24" s="29">
        <f>'1. Giả định &amp; Thông số'!$B$44</f>
        <v>30</v>
      </c>
      <c r="G24" s="29">
        <f>'1. Giả định &amp; Thông số'!$B$44</f>
        <v>30</v>
      </c>
      <c r="H24" s="29">
        <f>'1. Giả định &amp; Thông số'!$B$44</f>
        <v>30</v>
      </c>
      <c r="I24" s="29">
        <f>'1. Giả định &amp; Thông số'!$B$44</f>
        <v>30</v>
      </c>
      <c r="J24" s="10"/>
      <c r="K24" s="10"/>
      <c r="L24" s="10"/>
      <c r="M24" s="10"/>
      <c r="N24" s="10"/>
      <c r="O24" s="10"/>
      <c r="P24" s="10"/>
      <c r="Q24" s="10"/>
      <c r="R24" s="10"/>
      <c r="S24" s="10"/>
      <c r="T24" s="10"/>
      <c r="U24" s="10"/>
      <c r="V24" s="10"/>
      <c r="W24" s="10"/>
      <c r="X24" s="10"/>
    </row>
    <row r="25" ht="18.0" customHeight="1">
      <c r="A25" s="14" t="s">
        <v>188</v>
      </c>
      <c r="B25" s="119" t="s">
        <v>18</v>
      </c>
      <c r="C25" s="75">
        <f t="shared" ref="C25:I25" si="4">sum(C23,C24)</f>
        <v>270</v>
      </c>
      <c r="D25" s="75">
        <f t="shared" si="4"/>
        <v>270</v>
      </c>
      <c r="E25" s="75">
        <f t="shared" si="4"/>
        <v>270</v>
      </c>
      <c r="F25" s="75">
        <f t="shared" si="4"/>
        <v>270</v>
      </c>
      <c r="G25" s="75">
        <f t="shared" si="4"/>
        <v>270</v>
      </c>
      <c r="H25" s="75">
        <f t="shared" si="4"/>
        <v>270</v>
      </c>
      <c r="I25" s="75">
        <f t="shared" si="4"/>
        <v>270</v>
      </c>
      <c r="J25" s="10"/>
      <c r="K25" s="10"/>
      <c r="L25" s="10"/>
      <c r="M25" s="10"/>
      <c r="N25" s="10"/>
      <c r="O25" s="10"/>
      <c r="P25" s="10"/>
      <c r="Q25" s="10"/>
      <c r="R25" s="10"/>
      <c r="S25" s="10"/>
      <c r="T25" s="10"/>
      <c r="U25" s="10"/>
      <c r="V25" s="10"/>
      <c r="W25" s="10"/>
      <c r="X25" s="10"/>
    </row>
    <row r="26" ht="6.0" customHeight="1">
      <c r="A26" s="10"/>
      <c r="B26" s="10"/>
      <c r="C26" s="121"/>
      <c r="D26" s="121"/>
      <c r="E26" s="121"/>
      <c r="F26" s="121"/>
      <c r="G26" s="121"/>
      <c r="H26" s="10"/>
      <c r="I26" s="10"/>
      <c r="J26" s="10"/>
      <c r="K26" s="10"/>
      <c r="L26" s="10"/>
      <c r="M26" s="10"/>
      <c r="N26" s="10"/>
      <c r="O26" s="10"/>
      <c r="P26" s="10"/>
      <c r="Q26" s="10"/>
      <c r="R26" s="10"/>
      <c r="S26" s="10"/>
      <c r="T26" s="10"/>
      <c r="U26" s="10"/>
      <c r="V26" s="10"/>
      <c r="W26" s="10"/>
      <c r="X26" s="10"/>
    </row>
    <row r="27" ht="18.0" customHeight="1">
      <c r="A27" s="124" t="s">
        <v>190</v>
      </c>
      <c r="B27" s="125" t="s">
        <v>18</v>
      </c>
      <c r="C27" s="126">
        <f t="shared" ref="C27:I27" si="5">C10+C15+C20+C25</f>
        <v>2235</v>
      </c>
      <c r="D27" s="126">
        <f t="shared" si="5"/>
        <v>2744.327999</v>
      </c>
      <c r="E27" s="126">
        <f t="shared" si="5"/>
        <v>3767.742</v>
      </c>
      <c r="F27" s="126">
        <f t="shared" si="5"/>
        <v>5122.956001</v>
      </c>
      <c r="G27" s="126">
        <f t="shared" si="5"/>
        <v>6202.676251</v>
      </c>
      <c r="H27" s="126">
        <f t="shared" si="5"/>
        <v>6997.591586</v>
      </c>
      <c r="I27" s="126">
        <f t="shared" si="5"/>
        <v>7602.522166</v>
      </c>
      <c r="J27" s="10"/>
      <c r="K27" s="10"/>
      <c r="L27" s="10"/>
      <c r="M27" s="10"/>
      <c r="N27" s="10"/>
      <c r="O27" s="10"/>
      <c r="P27" s="10"/>
      <c r="Q27" s="10"/>
      <c r="R27" s="10"/>
      <c r="S27" s="10"/>
      <c r="T27" s="10"/>
      <c r="U27" s="10"/>
      <c r="V27" s="10"/>
      <c r="W27" s="10"/>
      <c r="X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G1"/>
    <mergeCell ref="A3:G3"/>
    <mergeCell ref="H3:I3"/>
    <mergeCell ref="A12:G12"/>
    <mergeCell ref="A17:G17"/>
    <mergeCell ref="A22:G22"/>
  </mergeCell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4.0"/>
    <col customWidth="1" min="2" max="9" width="15.0"/>
  </cols>
  <sheetData>
    <row r="1" ht="36.0" customHeight="1">
      <c r="A1" s="1" t="s">
        <v>0</v>
      </c>
      <c r="B1" s="3"/>
      <c r="C1" s="3"/>
      <c r="D1" s="3"/>
      <c r="E1" s="3"/>
      <c r="F1" s="3"/>
      <c r="G1" s="3"/>
      <c r="H1" s="3"/>
      <c r="I1" s="5"/>
    </row>
    <row r="2" ht="31.5" customHeight="1">
      <c r="A2" s="9" t="s">
        <v>4</v>
      </c>
      <c r="B2" s="9" t="s">
        <v>5</v>
      </c>
      <c r="C2" s="9" t="s">
        <v>6</v>
      </c>
      <c r="D2" s="9" t="s">
        <v>7</v>
      </c>
      <c r="E2" s="9" t="s">
        <v>8</v>
      </c>
      <c r="F2" s="9" t="s">
        <v>9</v>
      </c>
      <c r="G2" s="9" t="s">
        <v>10</v>
      </c>
      <c r="H2" s="9" t="s">
        <v>11</v>
      </c>
      <c r="I2" s="9" t="s">
        <v>12</v>
      </c>
    </row>
    <row r="3" ht="18.0" customHeight="1">
      <c r="A3" s="14" t="s">
        <v>14</v>
      </c>
      <c r="B3" s="15" t="s">
        <v>18</v>
      </c>
      <c r="C3" s="23">
        <f>'2. Báo cáo Ngân lưu'!C15</f>
        <v>2550.000001</v>
      </c>
      <c r="D3" s="23">
        <f>'2. Báo cáo Ngân lưu'!D15</f>
        <v>3478.399999</v>
      </c>
      <c r="E3" s="23">
        <f>'2. Báo cáo Ngân lưu'!E15</f>
        <v>5385.6</v>
      </c>
      <c r="F3" s="23">
        <f>'2. Báo cáo Ngân lưu'!F15</f>
        <v>7472.000003</v>
      </c>
      <c r="G3" s="23">
        <f>'2. Báo cáo Ngân lưu'!G15</f>
        <v>9662.400003</v>
      </c>
      <c r="H3" s="23">
        <f>'2. Báo cáo Ngân lưu'!H15</f>
        <v>10890</v>
      </c>
      <c r="I3" s="23">
        <f>'2. Báo cáo Ngân lưu'!I15</f>
        <v>12106.05</v>
      </c>
    </row>
    <row r="4" ht="18.0" customHeight="1">
      <c r="A4" s="25" t="s">
        <v>25</v>
      </c>
      <c r="B4" s="26" t="s">
        <v>18</v>
      </c>
      <c r="C4" s="29">
        <f>'2. Báo cáo Ngân lưu'!C5</f>
        <v>2340</v>
      </c>
      <c r="D4" s="29">
        <f>'2. Báo cáo Ngân lưu'!D5</f>
        <v>3120</v>
      </c>
      <c r="E4" s="29">
        <f>'2. Báo cáo Ngân lưu'!E5</f>
        <v>4680</v>
      </c>
      <c r="F4" s="29">
        <f>'2. Báo cáo Ngân lưu'!F5</f>
        <v>6240</v>
      </c>
      <c r="G4" s="29">
        <f>'2. Báo cáo Ngân lưu'!G5</f>
        <v>7020</v>
      </c>
      <c r="H4" s="29">
        <f>'2. Báo cáo Ngân lưu'!H5</f>
        <v>7800</v>
      </c>
      <c r="I4" s="29">
        <f>'2. Báo cáo Ngân lưu'!I5</f>
        <v>8580</v>
      </c>
    </row>
    <row r="5" ht="18.0" customHeight="1">
      <c r="A5" s="25" t="s">
        <v>32</v>
      </c>
      <c r="B5" s="26" t="s">
        <v>18</v>
      </c>
      <c r="C5" s="29" t="str">
        <f>'2. Báo cáo Ngân lưu'!C8</f>
        <v/>
      </c>
      <c r="D5" s="29" t="str">
        <f>'2. Báo cáo Ngân lưu'!D8</f>
        <v/>
      </c>
      <c r="E5" s="29" t="str">
        <f>'2. Báo cáo Ngân lưu'!E8</f>
        <v/>
      </c>
      <c r="F5" s="29" t="str">
        <f>'2. Báo cáo Ngân lưu'!F8</f>
        <v/>
      </c>
      <c r="G5" s="29" t="str">
        <f>'2. Báo cáo Ngân lưu'!G8</f>
        <v/>
      </c>
      <c r="H5" s="29" t="str">
        <f>'2. Báo cáo Ngân lưu'!H8</f>
        <v/>
      </c>
      <c r="I5" s="29" t="str">
        <f>'2. Báo cáo Ngân lưu'!I8</f>
        <v/>
      </c>
    </row>
    <row r="6" ht="18.0" customHeight="1">
      <c r="A6" s="25" t="s">
        <v>35</v>
      </c>
      <c r="B6" s="26" t="s">
        <v>18</v>
      </c>
      <c r="C6" s="29">
        <f>'2. Báo cáo Ngân lưu'!C11</f>
        <v>210.0000011</v>
      </c>
      <c r="D6" s="29">
        <f>'2. Báo cáo Ngân lưu'!D11</f>
        <v>358.3999986</v>
      </c>
      <c r="E6" s="29">
        <f>'2. Báo cáo Ngân lưu'!E11</f>
        <v>705.6</v>
      </c>
      <c r="F6" s="29">
        <f>'2. Báo cáo Ngân lưu'!F11</f>
        <v>1232.000003</v>
      </c>
      <c r="G6" s="29">
        <f>'2. Báo cáo Ngân lưu'!G11</f>
        <v>1764.000003</v>
      </c>
      <c r="H6" s="29">
        <f>'2. Báo cáo Ngân lưu'!H11</f>
        <v>2100</v>
      </c>
      <c r="I6" s="29">
        <f>'2. Báo cáo Ngân lưu'!I11</f>
        <v>2425.5</v>
      </c>
    </row>
    <row r="7" ht="18.0" customHeight="1">
      <c r="A7" s="42" t="s">
        <v>43</v>
      </c>
      <c r="B7" s="44" t="s">
        <v>18</v>
      </c>
      <c r="C7" s="47">
        <f>'3. Chi phí chi tiết'!C27</f>
        <v>2235</v>
      </c>
      <c r="D7" s="47">
        <f>'3. Chi phí chi tiết'!D27</f>
        <v>2744.327999</v>
      </c>
      <c r="E7" s="47">
        <f>'3. Chi phí chi tiết'!E27</f>
        <v>3767.742</v>
      </c>
      <c r="F7" s="47">
        <f>'3. Chi phí chi tiết'!F27</f>
        <v>5122.956001</v>
      </c>
      <c r="G7" s="47">
        <f>'3. Chi phí chi tiết'!G27</f>
        <v>6202.676251</v>
      </c>
      <c r="H7" s="47">
        <f>'3. Chi phí chi tiết'!H27</f>
        <v>6997.591586</v>
      </c>
      <c r="I7" s="47">
        <f>'3. Chi phí chi tiết'!I27</f>
        <v>7602.522166</v>
      </c>
    </row>
    <row r="8" ht="18.0" customHeight="1">
      <c r="A8" s="49" t="s">
        <v>52</v>
      </c>
      <c r="B8" s="50" t="s">
        <v>18</v>
      </c>
      <c r="C8" s="52">
        <f>'7. Lạm phát &amp; Khấu hao'!D43</f>
        <v>630.5714286</v>
      </c>
      <c r="D8" s="52">
        <f>'7. Lạm phát &amp; Khấu hao'!E43</f>
        <v>620.5714286</v>
      </c>
      <c r="E8" s="52">
        <f>'7. Lạm phát &amp; Khấu hao'!F43</f>
        <v>620.5714286</v>
      </c>
      <c r="F8" s="52">
        <f>'7. Lạm phát &amp; Khấu hao'!G43</f>
        <v>320.5714286</v>
      </c>
      <c r="G8" s="52">
        <f>'7. Lạm phát &amp; Khấu hao'!H43</f>
        <v>320.5714286</v>
      </c>
      <c r="H8" s="52">
        <f>'7. Lạm phát &amp; Khấu hao'!I43</f>
        <v>257.1428571</v>
      </c>
      <c r="I8" s="52">
        <f>'7. Lạm phát &amp; Khấu hao'!J43</f>
        <v>257.1428571</v>
      </c>
    </row>
    <row r="9" ht="18.0" customHeight="1">
      <c r="A9" s="55" t="s">
        <v>61</v>
      </c>
      <c r="B9" s="56" t="s">
        <v>18</v>
      </c>
      <c r="C9" s="58">
        <f t="shared" ref="C9:I9" si="1">C3-C7-C8</f>
        <v>-315.571428</v>
      </c>
      <c r="D9" s="58">
        <f t="shared" si="1"/>
        <v>113.5005706</v>
      </c>
      <c r="E9" s="58">
        <f t="shared" si="1"/>
        <v>997.2865714</v>
      </c>
      <c r="F9" s="58">
        <f t="shared" si="1"/>
        <v>2028.472573</v>
      </c>
      <c r="G9" s="58">
        <f t="shared" si="1"/>
        <v>3139.152323</v>
      </c>
      <c r="H9" s="58">
        <f t="shared" si="1"/>
        <v>3635.265557</v>
      </c>
      <c r="I9" s="58">
        <f t="shared" si="1"/>
        <v>4246.384977</v>
      </c>
    </row>
    <row r="10" ht="18.0" customHeight="1">
      <c r="A10" s="49" t="s">
        <v>65</v>
      </c>
      <c r="B10" s="50" t="s">
        <v>18</v>
      </c>
      <c r="C10" s="47">
        <f>'5. Lịch trả nợ'!C5</f>
        <v>138.776</v>
      </c>
      <c r="D10" s="47">
        <f>'5. Lịch trả nợ'!D5</f>
        <v>109.3101982</v>
      </c>
      <c r="E10" s="47">
        <f>'5. Lịch trả nợ'!E5</f>
        <v>76.60315828</v>
      </c>
      <c r="F10" s="47">
        <f>'5. Lịch trả nợ'!F5</f>
        <v>40.29834393</v>
      </c>
      <c r="G10" s="47">
        <f>'5. Lịch trả nợ'!G5</f>
        <v>0</v>
      </c>
      <c r="H10" s="47">
        <f>'5. Lịch trả nợ'!H5</f>
        <v>0</v>
      </c>
      <c r="I10" s="47">
        <f>'5. Lịch trả nợ'!I5</f>
        <v>0</v>
      </c>
    </row>
    <row r="11" ht="18.0" customHeight="1">
      <c r="A11" s="68" t="s">
        <v>76</v>
      </c>
      <c r="B11" s="69" t="s">
        <v>18</v>
      </c>
      <c r="C11" s="58">
        <f t="shared" ref="C11:I11" si="2">C9-C10</f>
        <v>-454.347428</v>
      </c>
      <c r="D11" s="58">
        <f t="shared" si="2"/>
        <v>4.190372379</v>
      </c>
      <c r="E11" s="58">
        <f t="shared" si="2"/>
        <v>920.6834131</v>
      </c>
      <c r="F11" s="58">
        <f t="shared" si="2"/>
        <v>1988.174229</v>
      </c>
      <c r="G11" s="58">
        <f t="shared" si="2"/>
        <v>3139.152323</v>
      </c>
      <c r="H11" s="58">
        <f t="shared" si="2"/>
        <v>3635.265557</v>
      </c>
      <c r="I11" s="58">
        <f t="shared" si="2"/>
        <v>4246.384977</v>
      </c>
    </row>
    <row r="12" ht="18.0" customHeight="1">
      <c r="A12" s="49" t="s">
        <v>82</v>
      </c>
      <c r="B12" s="50" t="s">
        <v>18</v>
      </c>
      <c r="C12" s="72">
        <f t="shared" ref="C12:I12" si="3">IF(C11&gt;0,C11*0.2,0)</f>
        <v>0</v>
      </c>
      <c r="D12" s="72">
        <f t="shared" si="3"/>
        <v>0.8380744758</v>
      </c>
      <c r="E12" s="72">
        <f t="shared" si="3"/>
        <v>184.1366826</v>
      </c>
      <c r="F12" s="72">
        <f t="shared" si="3"/>
        <v>397.6348458</v>
      </c>
      <c r="G12" s="72">
        <f t="shared" si="3"/>
        <v>627.8304647</v>
      </c>
      <c r="H12" s="72">
        <f t="shared" si="3"/>
        <v>727.0531113</v>
      </c>
      <c r="I12" s="72">
        <f t="shared" si="3"/>
        <v>849.2769955</v>
      </c>
    </row>
    <row r="13" ht="18.0" customHeight="1">
      <c r="A13" s="14" t="s">
        <v>86</v>
      </c>
      <c r="B13" s="15" t="s">
        <v>18</v>
      </c>
      <c r="C13" s="75">
        <f t="shared" ref="C13:I13" si="4">C11-C12</f>
        <v>-454.347428</v>
      </c>
      <c r="D13" s="75">
        <f t="shared" si="4"/>
        <v>3.352297903</v>
      </c>
      <c r="E13" s="75">
        <f t="shared" si="4"/>
        <v>736.5467305</v>
      </c>
      <c r="F13" s="75">
        <f t="shared" si="4"/>
        <v>1590.539383</v>
      </c>
      <c r="G13" s="75">
        <f t="shared" si="4"/>
        <v>2511.321859</v>
      </c>
      <c r="H13" s="75">
        <f t="shared" si="4"/>
        <v>2908.212445</v>
      </c>
      <c r="I13" s="75">
        <f t="shared" si="4"/>
        <v>3397.107982</v>
      </c>
    </row>
    <row r="14" ht="18.0" customHeight="1">
      <c r="A14" s="78" t="s">
        <v>92</v>
      </c>
      <c r="B14" s="34" t="s">
        <v>18</v>
      </c>
      <c r="C14" s="79">
        <f t="shared" ref="C14:I14" si="5">IF(C3&gt;0,C13/C3,"N/A")</f>
        <v>-0.1781754619</v>
      </c>
      <c r="D14" s="79">
        <f t="shared" si="5"/>
        <v>0.0009637470977</v>
      </c>
      <c r="E14" s="79">
        <f t="shared" si="5"/>
        <v>0.136762242</v>
      </c>
      <c r="F14" s="79">
        <f t="shared" si="5"/>
        <v>0.2128666197</v>
      </c>
      <c r="G14" s="79">
        <f t="shared" si="5"/>
        <v>0.2599066337</v>
      </c>
      <c r="H14" s="79">
        <f t="shared" si="5"/>
        <v>0.2670534844</v>
      </c>
      <c r="I14" s="79">
        <f t="shared" si="5"/>
        <v>0.2806124196</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6.0"/>
    <col customWidth="1" min="2" max="9" width="16.0"/>
  </cols>
  <sheetData>
    <row r="1" ht="36.0" customHeight="1">
      <c r="A1" s="1" t="s">
        <v>156</v>
      </c>
      <c r="B1" s="3"/>
      <c r="C1" s="3"/>
      <c r="D1" s="3"/>
      <c r="E1" s="3"/>
      <c r="F1" s="3"/>
      <c r="G1" s="3"/>
      <c r="H1" s="3"/>
      <c r="I1" s="5"/>
    </row>
    <row r="2" ht="31.5" customHeight="1">
      <c r="A2" s="9" t="s">
        <v>4</v>
      </c>
      <c r="B2" s="9" t="s">
        <v>5</v>
      </c>
      <c r="C2" s="9" t="s">
        <v>6</v>
      </c>
      <c r="D2" s="9" t="s">
        <v>7</v>
      </c>
      <c r="E2" s="9" t="s">
        <v>8</v>
      </c>
      <c r="F2" s="9" t="s">
        <v>9</v>
      </c>
      <c r="G2" s="9" t="s">
        <v>10</v>
      </c>
      <c r="H2" s="9" t="s">
        <v>11</v>
      </c>
      <c r="I2" s="9" t="s">
        <v>12</v>
      </c>
    </row>
    <row r="3" ht="15.0" customHeight="1">
      <c r="A3" s="101"/>
    </row>
    <row r="4" ht="18.0" customHeight="1">
      <c r="A4" s="33" t="s">
        <v>158</v>
      </c>
      <c r="B4" s="34" t="s">
        <v>18</v>
      </c>
      <c r="C4" s="37">
        <f>'1. Giả định &amp; Thông số'!$B$12</f>
        <v>1261.6</v>
      </c>
      <c r="D4" s="102">
        <f t="shared" ref="D4:F4" si="1">MAX(0, C8)</f>
        <v>993.7290749</v>
      </c>
      <c r="E4" s="102">
        <f t="shared" si="1"/>
        <v>696.392348</v>
      </c>
      <c r="F4" s="102">
        <f t="shared" si="1"/>
        <v>366.3485812</v>
      </c>
      <c r="G4" s="102">
        <f>MAX(0,F8)</f>
        <v>0</v>
      </c>
      <c r="H4" s="102">
        <f t="shared" ref="H4:I4" si="2">MAX(0, G8)</f>
        <v>0</v>
      </c>
      <c r="I4" s="102">
        <f t="shared" si="2"/>
        <v>0</v>
      </c>
    </row>
    <row r="5" ht="18.0" customHeight="1">
      <c r="A5" s="49" t="s">
        <v>164</v>
      </c>
      <c r="B5" s="50" t="s">
        <v>18</v>
      </c>
      <c r="C5" s="72">
        <f>IF(C4&gt;0, C4*'1. Giả định &amp; Thông số'!$B$14, 0)</f>
        <v>138.776</v>
      </c>
      <c r="D5" s="72">
        <f>IF(D4&gt;0, D4*'1. Giả định &amp; Thông số'!$B$14, 0)</f>
        <v>109.3101982</v>
      </c>
      <c r="E5" s="72">
        <f>IF(E4&gt;0, E4*'1. Giả định &amp; Thông số'!$B$14, 0)</f>
        <v>76.60315828</v>
      </c>
      <c r="F5" s="72">
        <f>IF(F4&gt;0, F4*'1. Giả định &amp; Thông số'!$B$14, 0)</f>
        <v>40.29834393</v>
      </c>
      <c r="G5" s="72">
        <f>IF(G4&gt;0, G4*'1. Giả định &amp; Thông số'!$B$14, 0)</f>
        <v>0</v>
      </c>
      <c r="H5" s="72">
        <f>IF(H4&gt;0, H4*'1. Giả định &amp; Thông số'!$B$14, 0)</f>
        <v>0</v>
      </c>
      <c r="I5" s="72">
        <f>IF(I4&gt;0, I4*'1. Giả định &amp; Thông số'!$B$14, 0)</f>
        <v>0</v>
      </c>
    </row>
    <row r="6" ht="18.0" customHeight="1">
      <c r="A6" s="49" t="s">
        <v>168</v>
      </c>
      <c r="B6" s="50" t="s">
        <v>18</v>
      </c>
      <c r="C6" s="72">
        <f t="shared" ref="C6:I6" si="3">IF(C4&gt;0, MIN(C4, C7-C5), 0)</f>
        <v>267.8709251</v>
      </c>
      <c r="D6" s="72">
        <f t="shared" si="3"/>
        <v>297.3367269</v>
      </c>
      <c r="E6" s="72">
        <f t="shared" si="3"/>
        <v>330.0437668</v>
      </c>
      <c r="F6" s="72">
        <f t="shared" si="3"/>
        <v>366.3485812</v>
      </c>
      <c r="G6" s="72">
        <f t="shared" si="3"/>
        <v>0</v>
      </c>
      <c r="H6" s="72">
        <f t="shared" si="3"/>
        <v>0</v>
      </c>
      <c r="I6" s="72">
        <f t="shared" si="3"/>
        <v>0</v>
      </c>
    </row>
    <row r="7" ht="18.0" customHeight="1">
      <c r="A7" s="104" t="s">
        <v>169</v>
      </c>
      <c r="B7" s="105" t="s">
        <v>18</v>
      </c>
      <c r="C7" s="106">
        <f>IF(C4&gt;0, '1. Giả định &amp; Thông số'!$B$12*'1. Giả định &amp; Thông số'!$B$14/(1-(1+'1. Giả định &amp; Thông số'!$B$14)^(-'1. Giả định &amp; Thông số'!$B$18)), 0)</f>
        <v>406.6469251</v>
      </c>
      <c r="D7" s="106">
        <f>IF(D4&gt;0, '1. Giả định &amp; Thông số'!$B$12*'1. Giả định &amp; Thông số'!$B$14/(1-(1+'1. Giả định &amp; Thông số'!$B$14)^(-'1. Giả định &amp; Thông số'!$B$18)), 0)</f>
        <v>406.6469251</v>
      </c>
      <c r="E7" s="106">
        <f>IF(E4&gt;0, '1. Giả định &amp; Thông số'!$B$12*'1. Giả định &amp; Thông số'!$B$14/(1-(1+'1. Giả định &amp; Thông số'!$B$14)^(-'1. Giả định &amp; Thông số'!$B$18)), 0)</f>
        <v>406.6469251</v>
      </c>
      <c r="F7" s="106">
        <f>IF(F4&gt;0, '1. Giả định &amp; Thông số'!$B$12*'1. Giả định &amp; Thông số'!$B$14/(1-(1+'1. Giả định &amp; Thông số'!$B$14)^(-'1. Giả định &amp; Thông số'!$B$18)), 0)</f>
        <v>406.6469251</v>
      </c>
      <c r="G7" s="106">
        <f>IF(ROUND(G4, 2)&gt;0, '1. Giả định &amp; Thông số'!$B$12*'1. Giả định &amp; Thông số'!$B$14/(1-(1+'1. Giả định &amp; Thông số'!$B$14)^(-'1. Giả định &amp; Thông số'!$B$18)), 0)</f>
        <v>0</v>
      </c>
      <c r="H7" s="106">
        <f>IF(ROUND(H4, 2)&gt;0, '1. Giả định &amp; Thông số'!$B$12*'1. Giả định &amp; Thông số'!$B$14/(1-(1+'1. Giả định &amp; Thông số'!$B$14)^(-'1. Giả định &amp; Thông số'!$B$18)), 0)</f>
        <v>0</v>
      </c>
      <c r="I7" s="106">
        <f>IF(ROUND(I4, 2)&gt;0, '1. Giả định &amp; Thông số'!$B$12*'1. Giả định &amp; Thông số'!$B$14/(1-(1+'1. Giả định &amp; Thông số'!$B$14)^(-'1. Giả định &amp; Thông số'!$B$18)), 0)</f>
        <v>0</v>
      </c>
    </row>
    <row r="8" ht="18.0" customHeight="1">
      <c r="A8" s="33" t="s">
        <v>175</v>
      </c>
      <c r="B8" s="37">
        <f>'1. Giả định &amp; Thông số'!$B$12</f>
        <v>1261.6</v>
      </c>
      <c r="C8" s="102">
        <f t="shared" ref="C8:I8" si="4">C4-C6</f>
        <v>993.7290749</v>
      </c>
      <c r="D8" s="102">
        <f t="shared" si="4"/>
        <v>696.392348</v>
      </c>
      <c r="E8" s="102">
        <f t="shared" si="4"/>
        <v>366.3485812</v>
      </c>
      <c r="F8" s="102">
        <f t="shared" si="4"/>
        <v>0</v>
      </c>
      <c r="G8" s="102">
        <f t="shared" si="4"/>
        <v>0</v>
      </c>
      <c r="H8" s="102">
        <f t="shared" si="4"/>
        <v>0</v>
      </c>
      <c r="I8" s="102">
        <f t="shared" si="4"/>
        <v>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I1"/>
    <mergeCell ref="A3:G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3" width="20.0"/>
    <col customWidth="1" min="4" max="4" width="45.0"/>
    <col customWidth="1" min="5" max="26" width="8.57"/>
  </cols>
  <sheetData>
    <row r="1" ht="34.5" customHeight="1">
      <c r="A1" s="128" t="s">
        <v>197</v>
      </c>
      <c r="B1" s="4"/>
      <c r="C1" s="4"/>
      <c r="D1" s="129"/>
      <c r="E1" s="10"/>
      <c r="F1" s="10"/>
      <c r="G1" s="10"/>
      <c r="H1" s="10"/>
      <c r="I1" s="10"/>
      <c r="J1" s="10"/>
      <c r="K1" s="10"/>
      <c r="L1" s="10"/>
      <c r="M1" s="10"/>
      <c r="N1" s="10"/>
      <c r="O1" s="10"/>
      <c r="P1" s="10"/>
      <c r="Q1" s="10"/>
      <c r="R1" s="10"/>
      <c r="S1" s="10"/>
      <c r="T1" s="10"/>
      <c r="U1" s="10"/>
      <c r="V1" s="10"/>
      <c r="W1" s="10"/>
      <c r="X1" s="10"/>
      <c r="Y1" s="10"/>
      <c r="Z1" s="10"/>
    </row>
    <row r="2" ht="15.0" customHeight="1">
      <c r="A2" s="131" t="s">
        <v>199</v>
      </c>
      <c r="B2" s="4"/>
      <c r="C2" s="4"/>
      <c r="D2" s="129"/>
      <c r="E2" s="10"/>
      <c r="F2" s="10"/>
      <c r="G2" s="10"/>
      <c r="H2" s="10"/>
      <c r="I2" s="10"/>
      <c r="J2" s="10"/>
      <c r="K2" s="10"/>
      <c r="L2" s="10"/>
      <c r="M2" s="10"/>
      <c r="N2" s="10"/>
      <c r="O2" s="10"/>
      <c r="P2" s="10"/>
      <c r="Q2" s="10"/>
      <c r="R2" s="10"/>
      <c r="S2" s="10"/>
      <c r="T2" s="10"/>
      <c r="U2" s="10"/>
      <c r="V2" s="10"/>
      <c r="W2" s="10"/>
      <c r="X2" s="10"/>
      <c r="Y2" s="10"/>
      <c r="Z2" s="10"/>
    </row>
    <row r="3" ht="30.0" customHeight="1">
      <c r="A3" s="133" t="s">
        <v>201</v>
      </c>
      <c r="B3" s="133" t="s">
        <v>202</v>
      </c>
      <c r="C3" s="133" t="s">
        <v>203</v>
      </c>
      <c r="D3" s="133" t="s">
        <v>204</v>
      </c>
      <c r="E3" s="10"/>
      <c r="F3" s="10"/>
      <c r="G3" s="10"/>
      <c r="H3" s="10"/>
      <c r="I3" s="10"/>
      <c r="J3" s="10"/>
      <c r="K3" s="10"/>
      <c r="L3" s="10"/>
      <c r="M3" s="10"/>
      <c r="N3" s="10"/>
      <c r="O3" s="10"/>
      <c r="P3" s="10"/>
      <c r="Q3" s="10"/>
      <c r="R3" s="10"/>
      <c r="S3" s="10"/>
      <c r="T3" s="10"/>
      <c r="U3" s="10"/>
      <c r="V3" s="10"/>
      <c r="W3" s="10"/>
      <c r="X3" s="10"/>
      <c r="Y3" s="10"/>
      <c r="Z3" s="10"/>
    </row>
    <row r="4" ht="18.0" customHeight="1">
      <c r="A4" s="135" t="s">
        <v>205</v>
      </c>
      <c r="B4" s="4"/>
      <c r="C4" s="4"/>
      <c r="D4" s="129"/>
      <c r="E4" s="10"/>
      <c r="F4" s="10"/>
      <c r="G4" s="10"/>
      <c r="H4" s="10"/>
      <c r="I4" s="10"/>
      <c r="J4" s="10"/>
      <c r="K4" s="10"/>
      <c r="L4" s="10"/>
      <c r="M4" s="10"/>
      <c r="N4" s="10"/>
      <c r="O4" s="10"/>
      <c r="P4" s="10"/>
      <c r="Q4" s="10"/>
      <c r="R4" s="10"/>
      <c r="S4" s="10"/>
      <c r="T4" s="10"/>
      <c r="U4" s="10"/>
      <c r="V4" s="10"/>
      <c r="W4" s="10"/>
      <c r="X4" s="10"/>
      <c r="Y4" s="10"/>
      <c r="Z4" s="10"/>
    </row>
    <row r="5" ht="46.5" customHeight="1">
      <c r="A5" s="136" t="s">
        <v>206</v>
      </c>
      <c r="B5" s="137">
        <f>'2. Báo cáo Ngân lưu'!B63</f>
        <v>3410.829823</v>
      </c>
      <c r="C5" s="138" t="str">
        <f>IF(B5&gt;0," NPV &gt; 0 → Dự án khả thi tạo giá trị","NPV &lt; 0 → Cần xem xét lại")</f>
        <v> NPV &gt; 0 → Dự án khả thi tạo giá trị</v>
      </c>
      <c r="D5" s="140" t="s">
        <v>208</v>
      </c>
      <c r="E5" s="10"/>
      <c r="F5" s="10"/>
      <c r="G5" s="10"/>
      <c r="H5" s="10"/>
      <c r="I5" s="10"/>
      <c r="J5" s="10"/>
      <c r="K5" s="10"/>
      <c r="L5" s="10"/>
      <c r="M5" s="10"/>
      <c r="N5" s="10"/>
      <c r="O5" s="10"/>
      <c r="P5" s="10"/>
      <c r="Q5" s="10"/>
      <c r="R5" s="10"/>
      <c r="S5" s="10"/>
      <c r="T5" s="10"/>
      <c r="U5" s="10"/>
      <c r="V5" s="10"/>
      <c r="W5" s="10"/>
      <c r="X5" s="10"/>
      <c r="Y5" s="10"/>
      <c r="Z5" s="10"/>
    </row>
    <row r="6">
      <c r="A6" s="136" t="s">
        <v>209</v>
      </c>
      <c r="B6" s="142">
        <f>'2. Báo cáo Ngân lưu'!B64</f>
        <v>0.3798673789</v>
      </c>
      <c r="C6" s="138" t="str">
        <f>IF(ISNUMBER(B6),IF(B6&gt;'1. Giả định &amp; Thông số'!$B$17," IRR &gt; WACC → Dự án sinh lợi vượt chi phí vốn","⚠ IRR &lt; WACC → Cần xem xét lại"),"N/A")</f>
        <v> IRR &gt; WACC → Dự án sinh lợi vượt chi phí vốn</v>
      </c>
      <c r="D6" s="140" t="s">
        <v>210</v>
      </c>
      <c r="E6" s="143"/>
      <c r="F6" s="148" t="s">
        <v>212</v>
      </c>
      <c r="G6" s="10"/>
      <c r="H6" s="10"/>
      <c r="I6" s="10"/>
      <c r="J6" s="10"/>
      <c r="K6" s="10"/>
      <c r="L6" s="10"/>
      <c r="M6" s="10"/>
      <c r="N6" s="10"/>
      <c r="O6" s="10"/>
      <c r="P6" s="10"/>
      <c r="Q6" s="10"/>
      <c r="R6" s="10"/>
      <c r="S6" s="10"/>
      <c r="T6" s="10"/>
      <c r="U6" s="10"/>
      <c r="V6" s="10"/>
      <c r="W6" s="10"/>
      <c r="X6" s="10"/>
      <c r="Y6" s="10"/>
      <c r="Z6" s="10"/>
    </row>
    <row r="7" ht="61.5" customHeight="1">
      <c r="A7" s="136" t="s">
        <v>215</v>
      </c>
      <c r="B7" s="142">
        <f>IFERROR(MIRR('2. Báo cáo Ngân lưu'!B55:I55,'1. Giả định &amp; Thông số'!$B$17,'1. Giả định &amp; Thông số'!$B$17),"N/A")</f>
        <v>0.3070243109</v>
      </c>
      <c r="C7" s="138" t="str">
        <f>IF(ISNUMBER(B7),IF(B7&gt;'1. Giả định &amp; Thông số'!$B$17," MIRR &gt; WACC → Khả thi","⚠ MIRR &lt; WACC → Xem lại"),"N/A")</f>
        <v> MIRR &gt; WACC → Khả thi</v>
      </c>
      <c r="D7" s="152" t="s">
        <v>217</v>
      </c>
      <c r="E7" s="10"/>
      <c r="F7" s="10"/>
      <c r="G7" s="10"/>
      <c r="H7" s="10"/>
      <c r="I7" s="10"/>
      <c r="J7" s="10"/>
      <c r="K7" s="10"/>
      <c r="L7" s="10"/>
      <c r="M7" s="10"/>
      <c r="N7" s="10"/>
      <c r="O7" s="10"/>
      <c r="P7" s="10"/>
      <c r="Q7" s="10"/>
      <c r="R7" s="10"/>
      <c r="S7" s="10"/>
      <c r="T7" s="10"/>
      <c r="U7" s="10"/>
      <c r="V7" s="10"/>
      <c r="W7" s="10"/>
      <c r="X7" s="10"/>
      <c r="Y7" s="10"/>
      <c r="Z7" s="10"/>
    </row>
    <row r="8" ht="46.5" customHeight="1">
      <c r="A8" s="136" t="s">
        <v>218</v>
      </c>
      <c r="B8" s="154">
        <f>('2. Báo cáo Ngân lưu'!B63 + ABS('2. Báo cáo Ngân lưu'!B55)) / ABS('2. Báo cáo Ngân lưu'!B55)</f>
        <v>2.802383123</v>
      </c>
      <c r="C8" s="138" t="str">
        <f>IF(B8&gt;=1," BCR ≥ 1 → Lợi ích vượt chi phí"," BCR &lt; 1 → Chi phí &gt; lợi ích")</f>
        <v> BCR ≥ 1 → Lợi ích vượt chi phí</v>
      </c>
      <c r="D8" s="152" t="s">
        <v>220</v>
      </c>
      <c r="E8" s="10"/>
      <c r="F8" s="10"/>
      <c r="G8" s="10"/>
      <c r="H8" s="10"/>
      <c r="I8" s="10"/>
      <c r="J8" s="10"/>
      <c r="K8" s="10"/>
      <c r="L8" s="10"/>
      <c r="M8" s="10"/>
      <c r="N8" s="10"/>
      <c r="O8" s="10"/>
      <c r="P8" s="10"/>
      <c r="Q8" s="10"/>
      <c r="R8" s="10"/>
      <c r="S8" s="10"/>
      <c r="T8" s="10"/>
      <c r="U8" s="10"/>
      <c r="V8" s="10"/>
      <c r="W8" s="10"/>
      <c r="X8" s="10"/>
      <c r="Y8" s="10"/>
      <c r="Z8" s="10"/>
    </row>
    <row r="9" ht="46.5" customHeight="1">
      <c r="A9" s="136" t="s">
        <v>221</v>
      </c>
      <c r="B9" s="137">
        <f>B5*'1. Giả định &amp; Thông số'!$B$17/(1-(1+'1. Giả định &amp; Thông số'!$B$17)^(-7))</f>
        <v>803.1713985</v>
      </c>
      <c r="C9" s="138" t="str">
        <f>IF(B9&gt;0," EAB &gt; 0 → Dự án có lợi nhuận hàng năm"," EAB ≤ 0")</f>
        <v> EAB &gt; 0 → Dự án có lợi nhuận hàng năm</v>
      </c>
      <c r="D9" s="152" t="s">
        <v>223</v>
      </c>
      <c r="E9" s="10"/>
      <c r="F9" s="10"/>
      <c r="G9" s="10"/>
      <c r="H9" s="10"/>
      <c r="I9" s="10"/>
      <c r="J9" s="10"/>
      <c r="K9" s="10"/>
      <c r="L9" s="10"/>
      <c r="M9" s="10"/>
      <c r="N9" s="10"/>
      <c r="O9" s="10"/>
      <c r="P9" s="10"/>
      <c r="Q9" s="10"/>
      <c r="R9" s="10"/>
      <c r="S9" s="10"/>
      <c r="T9" s="10"/>
      <c r="U9" s="10"/>
      <c r="V9" s="10"/>
      <c r="W9" s="10"/>
      <c r="X9" s="10"/>
      <c r="Y9" s="10"/>
      <c r="Z9" s="10"/>
    </row>
    <row r="10">
      <c r="A10" s="136" t="s">
        <v>224</v>
      </c>
      <c r="B10" s="158">
        <f>'2. Báo cáo Ngân lưu'!B66</f>
        <v>3.87</v>
      </c>
      <c r="C10" s="138"/>
      <c r="D10" s="152"/>
      <c r="E10" s="10"/>
      <c r="F10" s="10"/>
      <c r="G10" s="10"/>
      <c r="H10" s="10"/>
      <c r="I10" s="10"/>
      <c r="J10" s="10"/>
      <c r="K10" s="10"/>
      <c r="L10" s="10"/>
      <c r="M10" s="10"/>
      <c r="N10" s="10"/>
      <c r="O10" s="10"/>
      <c r="P10" s="10"/>
      <c r="Q10" s="10"/>
      <c r="R10" s="10"/>
      <c r="S10" s="10"/>
      <c r="T10" s="10"/>
      <c r="U10" s="10"/>
      <c r="V10" s="10"/>
      <c r="W10" s="10"/>
      <c r="X10" s="10"/>
      <c r="Y10" s="10"/>
      <c r="Z10" s="10"/>
    </row>
    <row r="11" ht="79.5" customHeight="1">
      <c r="A11" s="136" t="s">
        <v>225</v>
      </c>
      <c r="B11" s="158"/>
      <c r="C11" s="159"/>
      <c r="D11" s="152"/>
      <c r="E11" s="10"/>
      <c r="F11" s="10"/>
      <c r="G11" s="10"/>
      <c r="H11" s="10"/>
      <c r="I11" s="10"/>
      <c r="J11" s="10"/>
      <c r="K11" s="10"/>
      <c r="L11" s="10"/>
      <c r="M11" s="10"/>
      <c r="N11" s="10"/>
      <c r="O11" s="10"/>
      <c r="P11" s="10"/>
      <c r="Q11" s="10"/>
      <c r="R11" s="10"/>
      <c r="S11" s="10"/>
      <c r="T11" s="10"/>
      <c r="U11" s="10"/>
      <c r="V11" s="10"/>
      <c r="W11" s="10"/>
      <c r="X11" s="10"/>
      <c r="Y11" s="10"/>
      <c r="Z11" s="10"/>
    </row>
    <row r="12" ht="61.5" customHeight="1">
      <c r="A12" s="136" t="s">
        <v>226</v>
      </c>
      <c r="B12" s="142">
        <f>'1. Giả định &amp; Thông số'!$B$17</f>
        <v>0.1432</v>
      </c>
      <c r="C12" s="138" t="str">
        <f>'1. Giả định &amp; Thông số'!C20&amp;" = Re×E/V + Rd×(1-T)×D/V"</f>
        <v>N1 = Re×E/V + Rd×(1-T)×D/V</v>
      </c>
      <c r="D12" s="152"/>
      <c r="E12" s="10"/>
      <c r="F12" s="10"/>
      <c r="G12" s="10"/>
      <c r="H12" s="10"/>
      <c r="I12" s="10"/>
      <c r="J12" s="10"/>
      <c r="K12" s="10"/>
      <c r="L12" s="10"/>
      <c r="M12" s="10"/>
      <c r="N12" s="10"/>
      <c r="O12" s="10"/>
      <c r="P12" s="10"/>
      <c r="Q12" s="10"/>
      <c r="R12" s="10"/>
      <c r="S12" s="10"/>
      <c r="T12" s="10"/>
      <c r="U12" s="10"/>
      <c r="V12" s="10"/>
      <c r="W12" s="10"/>
      <c r="X12" s="10"/>
      <c r="Y12" s="10"/>
      <c r="Z12" s="10"/>
    </row>
    <row r="13" ht="15.0" customHeight="1">
      <c r="A13" s="160"/>
      <c r="B13" s="160"/>
      <c r="C13" s="160"/>
      <c r="D13" s="160"/>
      <c r="E13" s="10"/>
      <c r="F13" s="10"/>
      <c r="G13" s="10"/>
      <c r="H13" s="10"/>
      <c r="I13" s="10"/>
      <c r="J13" s="10"/>
      <c r="K13" s="10"/>
      <c r="L13" s="10"/>
      <c r="M13" s="10"/>
      <c r="N13" s="10"/>
      <c r="O13" s="10"/>
      <c r="P13" s="10"/>
      <c r="Q13" s="10"/>
      <c r="R13" s="10"/>
      <c r="S13" s="10"/>
      <c r="T13" s="10"/>
      <c r="U13" s="10"/>
      <c r="V13" s="10"/>
      <c r="W13" s="10"/>
      <c r="X13" s="10"/>
      <c r="Y13" s="10"/>
      <c r="Z13" s="10"/>
    </row>
    <row r="14" ht="54.0" customHeight="1">
      <c r="A14" s="161" t="s">
        <v>227</v>
      </c>
      <c r="B14" s="4"/>
      <c r="C14" s="4"/>
      <c r="D14" s="129"/>
      <c r="E14" s="10"/>
      <c r="F14" s="10"/>
      <c r="G14" s="10"/>
      <c r="H14" s="10"/>
      <c r="I14" s="10"/>
      <c r="J14" s="10"/>
      <c r="K14" s="10"/>
      <c r="L14" s="10"/>
      <c r="M14" s="10"/>
      <c r="N14" s="10"/>
      <c r="O14" s="10"/>
      <c r="P14" s="10"/>
      <c r="Q14" s="10"/>
      <c r="R14" s="10"/>
      <c r="S14" s="10"/>
      <c r="T14" s="10"/>
      <c r="U14" s="10"/>
      <c r="V14" s="10"/>
      <c r="W14" s="10"/>
      <c r="X14" s="10"/>
      <c r="Y14" s="10"/>
      <c r="Z14" s="10"/>
    </row>
    <row r="15" ht="45.0" customHeight="1">
      <c r="A15" s="162" t="s">
        <v>228</v>
      </c>
      <c r="B15" s="162" t="s">
        <v>229</v>
      </c>
      <c r="C15" s="162" t="s">
        <v>230</v>
      </c>
      <c r="D15" s="162" t="s">
        <v>231</v>
      </c>
      <c r="E15" s="10"/>
      <c r="F15" s="10"/>
      <c r="G15" s="10"/>
      <c r="H15" s="10"/>
      <c r="I15" s="10"/>
      <c r="J15" s="10"/>
      <c r="K15" s="10"/>
      <c r="L15" s="10"/>
      <c r="M15" s="10"/>
      <c r="N15" s="10"/>
      <c r="O15" s="10"/>
      <c r="P15" s="10"/>
      <c r="Q15" s="10"/>
      <c r="R15" s="10"/>
      <c r="S15" s="10"/>
      <c r="T15" s="10"/>
      <c r="U15" s="10"/>
      <c r="V15" s="10"/>
      <c r="W15" s="10"/>
      <c r="X15" s="10"/>
      <c r="Y15" s="10"/>
      <c r="Z15" s="10"/>
    </row>
    <row r="16" ht="31.5" customHeight="1">
      <c r="A16" s="22" t="s">
        <v>232</v>
      </c>
      <c r="B16" s="163">
        <f t="array" ref="B16">NPV('1. Giả định &amp; Thông số'!B17,'2. Báo cáo Ngân lưu'!C55:G55)*0.5+'2. Báo cáo Ngân lưu'!B55</f>
        <v>-614.4815931</v>
      </c>
      <c r="C16" s="164" t="str">
        <f>IF(B16&gt;0,"Khả thi"," Không khả thi")</f>
        <v> Không khả thi</v>
      </c>
      <c r="D16" s="35" t="s">
        <v>233</v>
      </c>
      <c r="E16" s="10"/>
      <c r="F16" s="10"/>
      <c r="G16" s="10"/>
      <c r="H16" s="10"/>
      <c r="I16" s="10"/>
      <c r="J16" s="10"/>
      <c r="K16" s="10"/>
      <c r="L16" s="10"/>
      <c r="M16" s="10"/>
      <c r="N16" s="10"/>
      <c r="O16" s="10"/>
      <c r="P16" s="10"/>
      <c r="Q16" s="10"/>
      <c r="R16" s="10"/>
      <c r="S16" s="10"/>
      <c r="T16" s="10"/>
      <c r="U16" s="10"/>
      <c r="V16" s="10"/>
      <c r="W16" s="10"/>
      <c r="X16" s="10"/>
      <c r="Y16" s="10"/>
      <c r="Z16" s="10"/>
    </row>
    <row r="17" ht="31.5" customHeight="1">
      <c r="A17" s="152" t="s">
        <v>234</v>
      </c>
      <c r="B17" s="163">
        <f t="array" ref="B17">NPV('1. Giả định &amp; Thông số'!B17,'2. Báo cáo Ngân lưu'!C55:G55)*0.75+'2. Báo cáo Ngân lưu'!B55</f>
        <v>24.47761035</v>
      </c>
      <c r="C17" s="165" t="str">
        <f t="shared" ref="C17:C18" si="1">IF(B17&gt;0," Khả thi"," Không khả thi")</f>
        <v> Khả thi</v>
      </c>
      <c r="D17" s="152" t="s">
        <v>235</v>
      </c>
      <c r="E17" s="10"/>
      <c r="F17" s="10"/>
      <c r="G17" s="10"/>
      <c r="H17" s="10"/>
      <c r="I17" s="10"/>
      <c r="J17" s="10"/>
      <c r="K17" s="10"/>
      <c r="L17" s="10"/>
      <c r="M17" s="10"/>
      <c r="N17" s="10"/>
      <c r="O17" s="10"/>
      <c r="P17" s="10"/>
      <c r="Q17" s="10"/>
      <c r="R17" s="10"/>
      <c r="S17" s="10"/>
      <c r="T17" s="10"/>
      <c r="U17" s="10"/>
      <c r="V17" s="10"/>
      <c r="W17" s="10"/>
      <c r="X17" s="10"/>
      <c r="Y17" s="10"/>
      <c r="Z17" s="10"/>
    </row>
    <row r="18" ht="31.5" customHeight="1">
      <c r="A18" s="166" t="s">
        <v>236</v>
      </c>
      <c r="B18" s="167">
        <f>'2. Báo cáo Ngân lưu'!B63</f>
        <v>3410.829823</v>
      </c>
      <c r="C18" s="168" t="str">
        <f t="shared" si="1"/>
        <v> Khả thi</v>
      </c>
      <c r="D18" s="169" t="s">
        <v>237</v>
      </c>
      <c r="E18" s="10"/>
      <c r="F18" s="10"/>
      <c r="G18" s="10"/>
      <c r="H18" s="10"/>
      <c r="I18" s="10"/>
      <c r="J18" s="10"/>
      <c r="K18" s="10"/>
      <c r="L18" s="10"/>
      <c r="M18" s="10"/>
      <c r="N18" s="10"/>
      <c r="O18" s="10"/>
      <c r="P18" s="10"/>
      <c r="Q18" s="10"/>
      <c r="R18" s="10"/>
      <c r="S18" s="10"/>
      <c r="T18" s="10"/>
      <c r="U18" s="10"/>
      <c r="V18" s="10"/>
      <c r="W18" s="10"/>
      <c r="X18" s="10"/>
      <c r="Y18" s="10"/>
      <c r="Z18" s="10"/>
    </row>
    <row r="19" ht="31.5" customHeight="1">
      <c r="A19" s="152" t="s">
        <v>238</v>
      </c>
      <c r="B19" s="163">
        <f t="array" ref="B19">NPV('1. Giả định &amp; Thông số'!B17,'2. Báo cáo Ngân lưu'!C55:G55)*1.25+'2. Báo cáo Ngân lưu'!B55</f>
        <v>1302.396017</v>
      </c>
      <c r="C19" s="165" t="str">
        <f t="shared" ref="C19:C20" si="2">IF(B19&gt;0,"Khả thi","Không khả thi")</f>
        <v>Khả thi</v>
      </c>
      <c r="D19" s="140" t="s">
        <v>239</v>
      </c>
      <c r="E19" s="170"/>
      <c r="F19" s="10"/>
      <c r="G19" s="10"/>
      <c r="H19" s="10"/>
      <c r="I19" s="10"/>
      <c r="J19" s="10"/>
      <c r="K19" s="10"/>
      <c r="L19" s="10"/>
      <c r="M19" s="10"/>
      <c r="N19" s="10"/>
      <c r="O19" s="10"/>
      <c r="P19" s="10"/>
      <c r="Q19" s="10"/>
      <c r="R19" s="10"/>
      <c r="S19" s="10"/>
      <c r="T19" s="10"/>
      <c r="U19" s="10"/>
      <c r="V19" s="10"/>
      <c r="W19" s="10"/>
      <c r="X19" s="10"/>
      <c r="Y19" s="10"/>
      <c r="Z19" s="10"/>
    </row>
    <row r="20" ht="31.5" customHeight="1">
      <c r="A20" s="152" t="s">
        <v>240</v>
      </c>
      <c r="B20" s="163">
        <f t="array" ref="B20">NPV('1. Giả định &amp; Thông số'!B17,'2. Báo cáo Ngân lưu'!C55:G55)*1.5+'2. Báo cáo Ngân lưu'!B55</f>
        <v>1941.355221</v>
      </c>
      <c r="C20" s="165" t="str">
        <f t="shared" si="2"/>
        <v>Khả thi</v>
      </c>
      <c r="D20" s="152" t="s">
        <v>241</v>
      </c>
      <c r="E20" s="170"/>
      <c r="F20" s="10"/>
      <c r="G20" s="10"/>
      <c r="H20" s="10"/>
      <c r="I20" s="10"/>
      <c r="J20" s="10"/>
      <c r="K20" s="10"/>
      <c r="L20" s="10"/>
      <c r="M20" s="10"/>
      <c r="N20" s="10"/>
      <c r="O20" s="10"/>
      <c r="P20" s="10"/>
      <c r="Q20" s="10"/>
      <c r="R20" s="10"/>
      <c r="S20" s="10"/>
      <c r="T20" s="10"/>
      <c r="U20" s="10"/>
      <c r="V20" s="10"/>
      <c r="W20" s="10"/>
      <c r="X20" s="10"/>
      <c r="Y20" s="10"/>
      <c r="Z20" s="10"/>
    </row>
    <row r="21" ht="7.5" customHeight="1">
      <c r="A21" s="160"/>
      <c r="B21" s="160"/>
      <c r="C21" s="160"/>
      <c r="D21" s="160"/>
      <c r="E21" s="10"/>
      <c r="F21" s="10"/>
      <c r="G21" s="10"/>
      <c r="H21" s="10"/>
      <c r="I21" s="10"/>
      <c r="J21" s="10"/>
      <c r="K21" s="10"/>
      <c r="L21" s="10"/>
      <c r="M21" s="10"/>
      <c r="N21" s="10"/>
      <c r="O21" s="10"/>
      <c r="P21" s="10"/>
      <c r="Q21" s="10"/>
      <c r="R21" s="10"/>
      <c r="S21" s="10"/>
      <c r="T21" s="10"/>
      <c r="U21" s="10"/>
      <c r="V21" s="10"/>
      <c r="W21" s="10"/>
      <c r="X21" s="10"/>
      <c r="Y21" s="10"/>
      <c r="Z21" s="10"/>
    </row>
    <row r="22" ht="34.5" customHeight="1">
      <c r="A22" s="171" t="s">
        <v>242</v>
      </c>
      <c r="B22" s="4"/>
      <c r="C22" s="4"/>
      <c r="D22" s="129"/>
      <c r="E22" s="10"/>
      <c r="F22" s="10"/>
      <c r="G22" s="10"/>
      <c r="H22" s="10"/>
      <c r="I22" s="10"/>
      <c r="J22" s="10"/>
      <c r="K22" s="10"/>
      <c r="L22" s="10"/>
      <c r="M22" s="10"/>
      <c r="N22" s="10"/>
      <c r="O22" s="10"/>
      <c r="P22" s="10"/>
      <c r="Q22" s="10"/>
      <c r="R22" s="10"/>
      <c r="S22" s="10"/>
      <c r="T22" s="10"/>
      <c r="U22" s="10"/>
      <c r="V22" s="10"/>
      <c r="W22" s="10"/>
      <c r="X22" s="10"/>
      <c r="Y22" s="10"/>
      <c r="Z22" s="10"/>
    </row>
    <row r="23" ht="30.0" customHeight="1">
      <c r="A23" s="172" t="s">
        <v>243</v>
      </c>
      <c r="B23" s="172" t="s">
        <v>244</v>
      </c>
      <c r="C23" s="172" t="s">
        <v>230</v>
      </c>
      <c r="D23" s="172" t="s">
        <v>245</v>
      </c>
      <c r="E23" s="10"/>
      <c r="F23" s="10"/>
      <c r="G23" s="10"/>
      <c r="H23" s="10"/>
      <c r="I23" s="10"/>
      <c r="J23" s="10"/>
      <c r="K23" s="10"/>
      <c r="L23" s="10"/>
      <c r="M23" s="10"/>
      <c r="N23" s="10"/>
      <c r="O23" s="10"/>
      <c r="P23" s="10"/>
      <c r="Q23" s="10"/>
      <c r="R23" s="10"/>
      <c r="S23" s="10"/>
      <c r="T23" s="10"/>
      <c r="U23" s="10"/>
      <c r="V23" s="10"/>
      <c r="W23" s="10"/>
      <c r="X23" s="10"/>
      <c r="Y23" s="10"/>
      <c r="Z23" s="10"/>
    </row>
    <row r="24" ht="30.75" customHeight="1">
      <c r="A24" s="173">
        <v>0.1</v>
      </c>
      <c r="B24" s="152" t="s">
        <v>246</v>
      </c>
      <c r="C24" s="165">
        <f t="array" ref="C24">NPV(0.1,'2. Báo cáo Ngân lưu'!C55:I55)+'2. Báo cáo Ngân lưu'!B55</f>
        <v>4679.248605</v>
      </c>
      <c r="D24" s="152" t="str">
        <f t="shared" ref="D24:D28" si="3">IF(C24&gt;0,"Khả thi","Không khả thi → review kịch bản")</f>
        <v>Khả thi</v>
      </c>
      <c r="E24" s="10"/>
      <c r="F24" s="10"/>
      <c r="G24" s="10"/>
      <c r="H24" s="10"/>
      <c r="I24" s="10"/>
      <c r="J24" s="10"/>
      <c r="K24" s="10"/>
      <c r="L24" s="10"/>
      <c r="M24" s="10"/>
      <c r="N24" s="10"/>
      <c r="O24" s="10"/>
      <c r="P24" s="10"/>
      <c r="Q24" s="10"/>
      <c r="R24" s="10"/>
      <c r="S24" s="10"/>
      <c r="T24" s="10"/>
      <c r="U24" s="10"/>
      <c r="V24" s="10"/>
      <c r="W24" s="10"/>
      <c r="X24" s="10"/>
      <c r="Y24" s="10"/>
      <c r="Z24" s="10"/>
    </row>
    <row r="25" ht="30.75" customHeight="1">
      <c r="A25" s="173">
        <v>0.1264</v>
      </c>
      <c r="B25" s="152" t="s">
        <v>247</v>
      </c>
      <c r="C25" s="165">
        <f t="array" ref="C25">NPV(0.1264,'2. Báo cáo Ngân lưu'!C55:I55)+'2. Báo cáo Ngân lưu'!B55</f>
        <v>3865.418754</v>
      </c>
      <c r="D25" s="152" t="str">
        <f t="shared" si="3"/>
        <v>Khả thi</v>
      </c>
      <c r="E25" s="10"/>
      <c r="F25" s="10"/>
      <c r="G25" s="10"/>
      <c r="H25" s="10"/>
      <c r="I25" s="10"/>
      <c r="J25" s="10"/>
      <c r="K25" s="10"/>
      <c r="L25" s="10"/>
      <c r="M25" s="10"/>
      <c r="N25" s="10"/>
      <c r="O25" s="10"/>
      <c r="P25" s="10"/>
      <c r="Q25" s="10"/>
      <c r="R25" s="10"/>
      <c r="S25" s="10"/>
      <c r="T25" s="10"/>
      <c r="U25" s="10"/>
      <c r="V25" s="10"/>
      <c r="W25" s="10"/>
      <c r="X25" s="10"/>
      <c r="Y25" s="10"/>
      <c r="Z25" s="10"/>
    </row>
    <row r="26" ht="30.75" customHeight="1">
      <c r="A26" s="174">
        <v>0.1432</v>
      </c>
      <c r="B26" s="175" t="s">
        <v>248</v>
      </c>
      <c r="C26" s="176">
        <f t="array" ref="C26">NPV(0.1432,'2. Báo cáo Ngân lưu'!C55:I55)+'2. Báo cáo Ngân lưu'!B55</f>
        <v>3410.829823</v>
      </c>
      <c r="D26" s="177" t="str">
        <f t="shared" si="3"/>
        <v>Khả thi</v>
      </c>
      <c r="E26" s="10"/>
      <c r="F26" s="10"/>
      <c r="G26" s="10"/>
      <c r="H26" s="10"/>
      <c r="I26" s="10"/>
      <c r="J26" s="10"/>
      <c r="K26" s="10"/>
      <c r="L26" s="10"/>
      <c r="M26" s="10"/>
      <c r="N26" s="10"/>
      <c r="O26" s="10"/>
      <c r="P26" s="10"/>
      <c r="Q26" s="10"/>
      <c r="R26" s="10"/>
      <c r="S26" s="10"/>
      <c r="T26" s="10"/>
      <c r="U26" s="10"/>
      <c r="V26" s="10"/>
      <c r="W26" s="10"/>
      <c r="X26" s="10"/>
      <c r="Y26" s="10"/>
      <c r="Z26" s="10"/>
    </row>
    <row r="27" ht="30.75" customHeight="1">
      <c r="A27" s="173">
        <v>0.2</v>
      </c>
      <c r="B27" s="152" t="s">
        <v>249</v>
      </c>
      <c r="C27" s="165">
        <f t="array" ref="C27">NPV(0.2,'2. Báo cáo Ngân lưu'!C55:I55)+'2. Báo cáo Ngân lưu'!B55</f>
        <v>2164.305088</v>
      </c>
      <c r="D27" s="152" t="str">
        <f t="shared" si="3"/>
        <v>Khả thi</v>
      </c>
      <c r="E27" s="10"/>
      <c r="F27" s="10"/>
      <c r="G27" s="10"/>
      <c r="H27" s="10"/>
      <c r="I27" s="10"/>
      <c r="J27" s="10"/>
      <c r="K27" s="10"/>
      <c r="L27" s="10"/>
      <c r="M27" s="10"/>
      <c r="N27" s="10"/>
      <c r="O27" s="10"/>
      <c r="P27" s="10"/>
      <c r="Q27" s="10"/>
      <c r="R27" s="10"/>
      <c r="S27" s="10"/>
      <c r="T27" s="10"/>
      <c r="U27" s="10"/>
      <c r="V27" s="10"/>
      <c r="W27" s="10"/>
      <c r="X27" s="10"/>
      <c r="Y27" s="10"/>
      <c r="Z27" s="10"/>
    </row>
    <row r="28" ht="30.75" customHeight="1">
      <c r="A28" s="173">
        <v>0.25</v>
      </c>
      <c r="B28" s="152" t="s">
        <v>250</v>
      </c>
      <c r="C28" s="165">
        <f t="array" ref="C28">NPV(0.25,'2. Báo cáo Ngân lưu'!C55:I55)+'2. Báo cáo Ngân lưu'!B55</f>
        <v>1349.997051</v>
      </c>
      <c r="D28" s="152" t="str">
        <f t="shared" si="3"/>
        <v>Khả thi</v>
      </c>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7.5" customHeight="1">
      <c r="A30" s="160"/>
      <c r="B30" s="160"/>
      <c r="C30" s="160"/>
      <c r="D30" s="16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sheetData>
  <mergeCells count="5">
    <mergeCell ref="A1:D1"/>
    <mergeCell ref="A2:D2"/>
    <mergeCell ref="A4:D4"/>
    <mergeCell ref="A14:D14"/>
    <mergeCell ref="A22:D22"/>
  </mergeCells>
  <hyperlinks>
    <hyperlink r:id="rId4" ref="F6"/>
  </hyperlinks>
  <printOptions/>
  <pageMargins bottom="1.0" footer="0.0" header="0.0" left="0.75" right="0.75" top="1.0"/>
  <pageSetup paperSize="9" orientation="portrait"/>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4.0"/>
    <col customWidth="1" min="3" max="10" width="13.0"/>
    <col customWidth="1" min="11" max="26" width="8.57"/>
  </cols>
  <sheetData>
    <row r="1" ht="27.75" customHeight="1">
      <c r="A1" s="178" t="s">
        <v>251</v>
      </c>
      <c r="B1" s="11"/>
      <c r="C1" s="11"/>
      <c r="D1" s="11"/>
      <c r="E1" s="11"/>
      <c r="F1" s="11"/>
      <c r="G1" s="11"/>
      <c r="H1" s="11"/>
      <c r="I1" s="11"/>
      <c r="J1" s="12"/>
      <c r="K1" s="179"/>
      <c r="L1" s="179"/>
      <c r="M1" s="179"/>
      <c r="N1" s="179"/>
      <c r="O1" s="179"/>
      <c r="P1" s="179"/>
      <c r="Q1" s="179"/>
      <c r="R1" s="179"/>
      <c r="S1" s="179"/>
      <c r="T1" s="179"/>
      <c r="U1" s="179"/>
      <c r="V1" s="179"/>
      <c r="W1" s="179"/>
      <c r="X1" s="179"/>
      <c r="Y1" s="179"/>
      <c r="Z1" s="179"/>
    </row>
    <row r="2" ht="18.0" customHeight="1">
      <c r="A2" s="180"/>
      <c r="B2" s="11"/>
      <c r="C2" s="11"/>
      <c r="D2" s="11"/>
      <c r="E2" s="11"/>
      <c r="F2" s="11"/>
      <c r="G2" s="11"/>
      <c r="H2" s="11"/>
      <c r="I2" s="11"/>
      <c r="J2" s="12"/>
      <c r="K2" s="179"/>
      <c r="L2" s="179"/>
      <c r="M2" s="179"/>
      <c r="N2" s="179"/>
      <c r="O2" s="179"/>
      <c r="P2" s="179"/>
      <c r="Q2" s="179"/>
      <c r="R2" s="179"/>
      <c r="S2" s="179"/>
      <c r="T2" s="179"/>
      <c r="U2" s="179"/>
      <c r="V2" s="179"/>
      <c r="W2" s="179"/>
      <c r="X2" s="179"/>
      <c r="Y2" s="179"/>
      <c r="Z2" s="179"/>
    </row>
    <row r="3" ht="14.25" customHeight="1">
      <c r="A3" s="179"/>
      <c r="B3" s="179"/>
      <c r="C3" s="179"/>
      <c r="D3" s="179"/>
      <c r="E3" s="179"/>
      <c r="F3" s="179"/>
      <c r="G3" s="179"/>
      <c r="H3" s="179"/>
      <c r="I3" s="179"/>
      <c r="J3" s="179"/>
      <c r="K3" s="179"/>
      <c r="L3" s="179"/>
      <c r="M3" s="179"/>
      <c r="N3" s="179"/>
      <c r="O3" s="179"/>
      <c r="P3" s="179"/>
      <c r="Q3" s="179"/>
      <c r="R3" s="179"/>
      <c r="S3" s="179"/>
      <c r="T3" s="179"/>
      <c r="U3" s="179"/>
      <c r="V3" s="179"/>
      <c r="W3" s="179"/>
      <c r="X3" s="179"/>
      <c r="Y3" s="179"/>
      <c r="Z3" s="179"/>
    </row>
    <row r="4" ht="19.5" customHeight="1">
      <c r="A4" s="181" t="s">
        <v>252</v>
      </c>
      <c r="B4" s="11"/>
      <c r="C4" s="11"/>
      <c r="D4" s="11"/>
      <c r="E4" s="11"/>
      <c r="F4" s="11"/>
      <c r="G4" s="11"/>
      <c r="H4" s="11"/>
      <c r="I4" s="11"/>
      <c r="J4" s="12"/>
      <c r="K4" s="179"/>
      <c r="L4" s="179"/>
      <c r="M4" s="179"/>
      <c r="N4" s="179"/>
      <c r="O4" s="179"/>
      <c r="P4" s="179"/>
      <c r="Q4" s="179"/>
      <c r="R4" s="179"/>
      <c r="S4" s="179"/>
      <c r="T4" s="179"/>
      <c r="U4" s="179"/>
      <c r="V4" s="179"/>
      <c r="W4" s="179"/>
      <c r="X4" s="179"/>
      <c r="Y4" s="179"/>
      <c r="Z4" s="179"/>
    </row>
    <row r="5" ht="15.0" customHeight="1">
      <c r="A5" s="182" t="s">
        <v>13</v>
      </c>
      <c r="B5" s="182" t="s">
        <v>16</v>
      </c>
      <c r="C5" s="182" t="s">
        <v>253</v>
      </c>
      <c r="D5" s="182" t="s">
        <v>6</v>
      </c>
      <c r="E5" s="182" t="s">
        <v>7</v>
      </c>
      <c r="F5" s="182" t="s">
        <v>8</v>
      </c>
      <c r="G5" s="182" t="s">
        <v>9</v>
      </c>
      <c r="H5" s="182" t="s">
        <v>10</v>
      </c>
      <c r="I5" s="182" t="s">
        <v>11</v>
      </c>
      <c r="J5" s="182" t="s">
        <v>12</v>
      </c>
      <c r="K5" s="179"/>
      <c r="L5" s="179"/>
      <c r="M5" s="179"/>
      <c r="N5" s="179"/>
      <c r="O5" s="179"/>
      <c r="P5" s="179"/>
      <c r="Q5" s="179"/>
      <c r="R5" s="179"/>
      <c r="S5" s="179"/>
      <c r="T5" s="179"/>
      <c r="U5" s="179"/>
      <c r="V5" s="179"/>
      <c r="W5" s="179"/>
      <c r="X5" s="179"/>
      <c r="Y5" s="179"/>
      <c r="Z5" s="179"/>
    </row>
    <row r="6" ht="15.0" customHeight="1">
      <c r="A6" s="183" t="s">
        <v>254</v>
      </c>
      <c r="B6" s="184" t="s">
        <v>133</v>
      </c>
      <c r="C6" s="185" t="s">
        <v>18</v>
      </c>
      <c r="D6" s="186">
        <v>0.045</v>
      </c>
      <c r="E6" s="186">
        <v>0.045</v>
      </c>
      <c r="F6" s="186">
        <v>0.045</v>
      </c>
      <c r="G6" s="186">
        <v>0.045</v>
      </c>
      <c r="H6" s="186">
        <v>0.045</v>
      </c>
      <c r="I6" s="186">
        <v>0.045</v>
      </c>
      <c r="J6" s="186">
        <v>0.045</v>
      </c>
      <c r="K6" s="179"/>
      <c r="L6" s="179"/>
      <c r="M6" s="179"/>
      <c r="N6" s="179"/>
      <c r="O6" s="179"/>
      <c r="P6" s="179"/>
      <c r="Q6" s="179"/>
      <c r="R6" s="179"/>
      <c r="S6" s="179"/>
      <c r="T6" s="179"/>
      <c r="U6" s="179"/>
      <c r="V6" s="179"/>
      <c r="W6" s="179"/>
      <c r="X6" s="179"/>
      <c r="Y6" s="179"/>
      <c r="Z6" s="179"/>
    </row>
    <row r="7" ht="15.0" customHeight="1">
      <c r="A7" s="187" t="s">
        <v>255</v>
      </c>
      <c r="B7" s="188" t="s">
        <v>133</v>
      </c>
      <c r="C7" s="189" t="s">
        <v>18</v>
      </c>
      <c r="D7" s="190">
        <v>0.07</v>
      </c>
      <c r="E7" s="190">
        <v>0.07</v>
      </c>
      <c r="F7" s="190">
        <v>0.07</v>
      </c>
      <c r="G7" s="190">
        <v>0.07</v>
      </c>
      <c r="H7" s="190">
        <v>0.07</v>
      </c>
      <c r="I7" s="190">
        <v>0.07</v>
      </c>
      <c r="J7" s="190">
        <v>0.07</v>
      </c>
      <c r="K7" s="179"/>
      <c r="L7" s="179"/>
      <c r="M7" s="179"/>
      <c r="N7" s="179"/>
      <c r="O7" s="179"/>
      <c r="P7" s="179"/>
      <c r="Q7" s="179"/>
      <c r="R7" s="179"/>
      <c r="S7" s="179"/>
      <c r="T7" s="179"/>
      <c r="U7" s="179"/>
      <c r="V7" s="179"/>
      <c r="W7" s="179"/>
      <c r="X7" s="179"/>
      <c r="Y7" s="179"/>
      <c r="Z7" s="179"/>
    </row>
    <row r="8" ht="15.0" customHeight="1">
      <c r="A8" s="183" t="s">
        <v>256</v>
      </c>
      <c r="B8" s="184" t="s">
        <v>133</v>
      </c>
      <c r="C8" s="185" t="s">
        <v>18</v>
      </c>
      <c r="D8" s="186">
        <v>0.04</v>
      </c>
      <c r="E8" s="186">
        <v>0.04</v>
      </c>
      <c r="F8" s="186">
        <v>0.04</v>
      </c>
      <c r="G8" s="186">
        <v>0.04</v>
      </c>
      <c r="H8" s="186">
        <v>0.04</v>
      </c>
      <c r="I8" s="186">
        <v>0.04</v>
      </c>
      <c r="J8" s="186">
        <v>0.04</v>
      </c>
      <c r="K8" s="179"/>
      <c r="L8" s="179"/>
      <c r="M8" s="179"/>
      <c r="N8" s="179"/>
      <c r="O8" s="179"/>
      <c r="P8" s="179"/>
      <c r="Q8" s="179"/>
      <c r="R8" s="179"/>
      <c r="S8" s="179"/>
      <c r="T8" s="179"/>
      <c r="U8" s="179"/>
      <c r="V8" s="179"/>
      <c r="W8" s="179"/>
      <c r="X8" s="179"/>
      <c r="Y8" s="179"/>
      <c r="Z8" s="179"/>
    </row>
    <row r="9" ht="15.0" customHeight="1">
      <c r="A9" s="187" t="s">
        <v>257</v>
      </c>
      <c r="B9" s="188" t="s">
        <v>133</v>
      </c>
      <c r="C9" s="189" t="s">
        <v>18</v>
      </c>
      <c r="D9" s="190">
        <v>0.03</v>
      </c>
      <c r="E9" s="190">
        <v>0.03</v>
      </c>
      <c r="F9" s="190">
        <v>0.03</v>
      </c>
      <c r="G9" s="190">
        <v>0.03</v>
      </c>
      <c r="H9" s="190">
        <v>0.03</v>
      </c>
      <c r="I9" s="190">
        <v>0.03</v>
      </c>
      <c r="J9" s="190">
        <v>0.03</v>
      </c>
      <c r="K9" s="179"/>
      <c r="L9" s="179"/>
      <c r="M9" s="179"/>
      <c r="N9" s="179"/>
      <c r="O9" s="179"/>
      <c r="P9" s="179"/>
      <c r="Q9" s="179"/>
      <c r="R9" s="179"/>
      <c r="S9" s="179"/>
      <c r="T9" s="179"/>
      <c r="U9" s="179"/>
      <c r="V9" s="179"/>
      <c r="W9" s="179"/>
      <c r="X9" s="179"/>
      <c r="Y9" s="179"/>
      <c r="Z9" s="179"/>
    </row>
    <row r="10" ht="18.0" customHeight="1">
      <c r="A10" s="191" t="s">
        <v>258</v>
      </c>
      <c r="B10" s="11"/>
      <c r="C10" s="11"/>
      <c r="D10" s="11"/>
      <c r="E10" s="11"/>
      <c r="F10" s="11"/>
      <c r="G10" s="11"/>
      <c r="H10" s="11"/>
      <c r="I10" s="11"/>
      <c r="J10" s="12"/>
      <c r="K10" s="179"/>
      <c r="L10" s="179"/>
      <c r="M10" s="179"/>
      <c r="N10" s="179"/>
      <c r="O10" s="179"/>
      <c r="P10" s="179"/>
      <c r="Q10" s="179"/>
      <c r="R10" s="179"/>
      <c r="S10" s="179"/>
      <c r="T10" s="179"/>
      <c r="U10" s="179"/>
      <c r="V10" s="179"/>
      <c r="W10" s="179"/>
      <c r="X10" s="179"/>
      <c r="Y10" s="179"/>
      <c r="Z10" s="179"/>
    </row>
    <row r="11" ht="15.0" customHeight="1">
      <c r="A11" s="182" t="s">
        <v>13</v>
      </c>
      <c r="B11" s="182" t="s">
        <v>16</v>
      </c>
      <c r="C11" s="182" t="s">
        <v>253</v>
      </c>
      <c r="D11" s="182" t="s">
        <v>6</v>
      </c>
      <c r="E11" s="182" t="s">
        <v>7</v>
      </c>
      <c r="F11" s="182" t="s">
        <v>8</v>
      </c>
      <c r="G11" s="182" t="s">
        <v>9</v>
      </c>
      <c r="H11" s="182" t="s">
        <v>10</v>
      </c>
      <c r="I11" s="182" t="s">
        <v>11</v>
      </c>
      <c r="J11" s="182" t="s">
        <v>12</v>
      </c>
      <c r="K11" s="179"/>
      <c r="L11" s="179"/>
      <c r="M11" s="179"/>
      <c r="N11" s="179"/>
      <c r="O11" s="179"/>
      <c r="P11" s="179"/>
      <c r="Q11" s="179"/>
      <c r="R11" s="179"/>
      <c r="S11" s="179"/>
      <c r="T11" s="179"/>
      <c r="U11" s="179"/>
      <c r="V11" s="179"/>
      <c r="W11" s="179"/>
      <c r="X11" s="179"/>
      <c r="Y11" s="179"/>
      <c r="Z11" s="179"/>
    </row>
    <row r="12" ht="15.0" customHeight="1">
      <c r="A12" s="192" t="s">
        <v>259</v>
      </c>
      <c r="B12" s="193" t="s">
        <v>135</v>
      </c>
      <c r="C12" s="194">
        <v>1.0</v>
      </c>
      <c r="D12" s="195">
        <f t="shared" ref="D12:J12" si="1">C12*(1+$D$6)</f>
        <v>1.045</v>
      </c>
      <c r="E12" s="195">
        <f t="shared" si="1"/>
        <v>1.092025</v>
      </c>
      <c r="F12" s="195">
        <f t="shared" si="1"/>
        <v>1.141166125</v>
      </c>
      <c r="G12" s="195">
        <f t="shared" si="1"/>
        <v>1.192518601</v>
      </c>
      <c r="H12" s="195">
        <f t="shared" si="1"/>
        <v>1.246181938</v>
      </c>
      <c r="I12" s="195">
        <f t="shared" si="1"/>
        <v>1.302260125</v>
      </c>
      <c r="J12" s="195">
        <f t="shared" si="1"/>
        <v>1.36086183</v>
      </c>
      <c r="K12" s="179"/>
      <c r="L12" s="179"/>
      <c r="M12" s="179"/>
      <c r="N12" s="179"/>
      <c r="O12" s="179"/>
      <c r="P12" s="179"/>
      <c r="Q12" s="179"/>
      <c r="R12" s="179"/>
      <c r="S12" s="179"/>
      <c r="T12" s="179"/>
      <c r="U12" s="179"/>
      <c r="V12" s="179"/>
      <c r="W12" s="179"/>
      <c r="X12" s="179"/>
      <c r="Y12" s="179"/>
      <c r="Z12" s="179"/>
    </row>
    <row r="13" ht="15.0" customHeight="1">
      <c r="A13" s="196" t="s">
        <v>260</v>
      </c>
      <c r="B13" s="197" t="s">
        <v>135</v>
      </c>
      <c r="C13" s="198">
        <v>1.0</v>
      </c>
      <c r="D13" s="199">
        <f t="shared" ref="D13:J13" si="2">C13*(1+$D$7)</f>
        <v>1.07</v>
      </c>
      <c r="E13" s="199">
        <f t="shared" si="2"/>
        <v>1.1449</v>
      </c>
      <c r="F13" s="199">
        <f t="shared" si="2"/>
        <v>1.225043</v>
      </c>
      <c r="G13" s="199">
        <f t="shared" si="2"/>
        <v>1.31079601</v>
      </c>
      <c r="H13" s="199">
        <f t="shared" si="2"/>
        <v>1.402551731</v>
      </c>
      <c r="I13" s="199">
        <f t="shared" si="2"/>
        <v>1.500730352</v>
      </c>
      <c r="J13" s="199">
        <f t="shared" si="2"/>
        <v>1.605781476</v>
      </c>
      <c r="K13" s="179"/>
      <c r="L13" s="179"/>
      <c r="M13" s="179"/>
      <c r="N13" s="179"/>
      <c r="O13" s="179"/>
      <c r="P13" s="179"/>
      <c r="Q13" s="179"/>
      <c r="R13" s="179"/>
      <c r="S13" s="179"/>
      <c r="T13" s="179"/>
      <c r="U13" s="179"/>
      <c r="V13" s="179"/>
      <c r="W13" s="179"/>
      <c r="X13" s="179"/>
      <c r="Y13" s="179"/>
      <c r="Z13" s="179"/>
    </row>
    <row r="14" ht="15.0" customHeight="1">
      <c r="A14" s="192" t="s">
        <v>261</v>
      </c>
      <c r="B14" s="193" t="s">
        <v>135</v>
      </c>
      <c r="C14" s="194">
        <v>1.0</v>
      </c>
      <c r="D14" s="195">
        <f t="shared" ref="D14:J14" si="3">C14*(1+$D$8)</f>
        <v>1.04</v>
      </c>
      <c r="E14" s="195">
        <f t="shared" si="3"/>
        <v>1.0816</v>
      </c>
      <c r="F14" s="195">
        <f t="shared" si="3"/>
        <v>1.124864</v>
      </c>
      <c r="G14" s="195">
        <f t="shared" si="3"/>
        <v>1.16985856</v>
      </c>
      <c r="H14" s="195">
        <f t="shared" si="3"/>
        <v>1.216652902</v>
      </c>
      <c r="I14" s="195">
        <f t="shared" si="3"/>
        <v>1.265319018</v>
      </c>
      <c r="J14" s="195">
        <f t="shared" si="3"/>
        <v>1.315931779</v>
      </c>
      <c r="K14" s="179"/>
      <c r="L14" s="179"/>
      <c r="M14" s="179"/>
      <c r="N14" s="179"/>
      <c r="O14" s="179"/>
      <c r="P14" s="179"/>
      <c r="Q14" s="179"/>
      <c r="R14" s="179"/>
      <c r="S14" s="179"/>
      <c r="T14" s="179"/>
      <c r="U14" s="179"/>
      <c r="V14" s="179"/>
      <c r="W14" s="179"/>
      <c r="X14" s="179"/>
      <c r="Y14" s="179"/>
      <c r="Z14" s="179"/>
    </row>
    <row r="15" ht="15.0" customHeight="1">
      <c r="A15" s="196" t="s">
        <v>262</v>
      </c>
      <c r="B15" s="197" t="s">
        <v>135</v>
      </c>
      <c r="C15" s="198">
        <v>1.0</v>
      </c>
      <c r="D15" s="199">
        <f t="shared" ref="D15:J15" si="4">C15*(1+$D$9)</f>
        <v>1.03</v>
      </c>
      <c r="E15" s="199">
        <f t="shared" si="4"/>
        <v>1.0609</v>
      </c>
      <c r="F15" s="199">
        <f t="shared" si="4"/>
        <v>1.092727</v>
      </c>
      <c r="G15" s="199">
        <f t="shared" si="4"/>
        <v>1.12550881</v>
      </c>
      <c r="H15" s="199">
        <f t="shared" si="4"/>
        <v>1.159274074</v>
      </c>
      <c r="I15" s="199">
        <f t="shared" si="4"/>
        <v>1.194052297</v>
      </c>
      <c r="J15" s="199">
        <f t="shared" si="4"/>
        <v>1.229873865</v>
      </c>
      <c r="K15" s="179"/>
      <c r="L15" s="179"/>
      <c r="M15" s="179"/>
      <c r="N15" s="179"/>
      <c r="O15" s="179"/>
      <c r="P15" s="179"/>
      <c r="Q15" s="179"/>
      <c r="R15" s="179"/>
      <c r="S15" s="179"/>
      <c r="T15" s="179"/>
      <c r="U15" s="179"/>
      <c r="V15" s="179"/>
      <c r="W15" s="179"/>
      <c r="X15" s="179"/>
      <c r="Y15" s="179"/>
      <c r="Z15" s="179"/>
    </row>
    <row r="16" ht="14.25" customHeight="1">
      <c r="A16" s="179"/>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ht="19.5" customHeight="1">
      <c r="A17" s="181" t="s">
        <v>263</v>
      </c>
      <c r="B17" s="11"/>
      <c r="C17" s="11"/>
      <c r="D17" s="11"/>
      <c r="E17" s="11"/>
      <c r="F17" s="11"/>
      <c r="G17" s="11"/>
      <c r="H17" s="11"/>
      <c r="I17" s="11"/>
      <c r="J17" s="12"/>
      <c r="K17" s="179"/>
      <c r="L17" s="179"/>
      <c r="M17" s="179"/>
      <c r="N17" s="179"/>
      <c r="O17" s="179"/>
      <c r="P17" s="179"/>
      <c r="Q17" s="179"/>
      <c r="R17" s="179"/>
      <c r="S17" s="179"/>
      <c r="T17" s="179"/>
      <c r="U17" s="179"/>
      <c r="V17" s="179"/>
      <c r="W17" s="179"/>
      <c r="X17" s="179"/>
      <c r="Y17" s="179"/>
      <c r="Z17" s="179"/>
    </row>
    <row r="18" ht="15.0" customHeight="1">
      <c r="A18" s="182" t="s">
        <v>13</v>
      </c>
      <c r="B18" s="182" t="s">
        <v>16</v>
      </c>
      <c r="C18" s="182" t="s">
        <v>253</v>
      </c>
      <c r="D18" s="182" t="s">
        <v>6</v>
      </c>
      <c r="E18" s="182" t="s">
        <v>7</v>
      </c>
      <c r="F18" s="182" t="s">
        <v>8</v>
      </c>
      <c r="G18" s="182" t="s">
        <v>9</v>
      </c>
      <c r="H18" s="182" t="s">
        <v>10</v>
      </c>
      <c r="I18" s="182" t="s">
        <v>11</v>
      </c>
      <c r="J18" s="182" t="s">
        <v>12</v>
      </c>
      <c r="K18" s="179"/>
      <c r="L18" s="179"/>
      <c r="M18" s="179"/>
      <c r="N18" s="179"/>
      <c r="O18" s="179"/>
      <c r="P18" s="179"/>
      <c r="Q18" s="179"/>
      <c r="R18" s="179"/>
      <c r="S18" s="179"/>
      <c r="T18" s="179"/>
      <c r="U18" s="179"/>
      <c r="V18" s="179"/>
      <c r="W18" s="179"/>
      <c r="X18" s="179"/>
      <c r="Y18" s="179"/>
      <c r="Z18" s="179"/>
    </row>
    <row r="19" ht="15.0" customHeight="1">
      <c r="A19" s="192" t="s">
        <v>264</v>
      </c>
      <c r="B19" s="193" t="s">
        <v>265</v>
      </c>
      <c r="C19" s="200" t="s">
        <v>18</v>
      </c>
      <c r="D19" s="201">
        <f>'2. Báo cáo Ngân lưu'!C15</f>
        <v>2550.000001</v>
      </c>
      <c r="E19" s="201">
        <f>'2. Báo cáo Ngân lưu'!D15</f>
        <v>3478.399999</v>
      </c>
      <c r="F19" s="201">
        <f>'2. Báo cáo Ngân lưu'!E15</f>
        <v>5385.6</v>
      </c>
      <c r="G19" s="201">
        <f>'2. Báo cáo Ngân lưu'!F15</f>
        <v>7472.000003</v>
      </c>
      <c r="H19" s="201">
        <f>'2. Báo cáo Ngân lưu'!G15</f>
        <v>9662.400003</v>
      </c>
      <c r="I19" s="201">
        <f>'2. Báo cáo Ngân lưu'!H15</f>
        <v>10890</v>
      </c>
      <c r="J19" s="201">
        <f>'2. Báo cáo Ngân lưu'!I15</f>
        <v>12106.05</v>
      </c>
      <c r="K19" s="179"/>
      <c r="L19" s="179"/>
      <c r="M19" s="179"/>
      <c r="N19" s="179"/>
      <c r="O19" s="179"/>
      <c r="P19" s="179"/>
      <c r="Q19" s="179"/>
      <c r="R19" s="179"/>
      <c r="S19" s="179"/>
      <c r="T19" s="179"/>
      <c r="U19" s="179"/>
      <c r="V19" s="179"/>
      <c r="W19" s="179"/>
      <c r="X19" s="179"/>
      <c r="Y19" s="179"/>
      <c r="Z19" s="179"/>
    </row>
    <row r="20" ht="15.0" customHeight="1">
      <c r="A20" s="196" t="s">
        <v>266</v>
      </c>
      <c r="B20" s="197" t="s">
        <v>265</v>
      </c>
      <c r="C20" s="202"/>
      <c r="D20" s="202">
        <f t="shared" ref="D20:J20" si="5">D19/D12</f>
        <v>2440.191389</v>
      </c>
      <c r="E20" s="202">
        <f t="shared" si="5"/>
        <v>3185.275061</v>
      </c>
      <c r="F20" s="202">
        <f t="shared" si="5"/>
        <v>4719.382991</v>
      </c>
      <c r="G20" s="202">
        <f t="shared" si="5"/>
        <v>6265.730362</v>
      </c>
      <c r="H20" s="202">
        <f t="shared" si="5"/>
        <v>7753.602994</v>
      </c>
      <c r="I20" s="202">
        <f t="shared" si="5"/>
        <v>8362.38459</v>
      </c>
      <c r="J20" s="202">
        <f t="shared" si="5"/>
        <v>8895.87005</v>
      </c>
      <c r="K20" s="179"/>
      <c r="L20" s="179"/>
      <c r="M20" s="179"/>
      <c r="N20" s="179"/>
      <c r="O20" s="179"/>
      <c r="P20" s="179"/>
      <c r="Q20" s="179"/>
      <c r="R20" s="179"/>
      <c r="S20" s="179"/>
      <c r="T20" s="179"/>
      <c r="U20" s="179"/>
      <c r="V20" s="179"/>
      <c r="W20" s="179"/>
      <c r="X20" s="179"/>
      <c r="Y20" s="179"/>
      <c r="Z20" s="179"/>
    </row>
    <row r="21" ht="15.0" customHeight="1">
      <c r="A21" s="192" t="s">
        <v>267</v>
      </c>
      <c r="B21" s="193" t="s">
        <v>268</v>
      </c>
      <c r="C21" s="203"/>
      <c r="D21" s="203"/>
      <c r="E21" s="203">
        <f t="shared" ref="E21:J21" si="6">E20/D20-1</f>
        <v>0.3053382108</v>
      </c>
      <c r="F21" s="203">
        <f t="shared" si="6"/>
        <v>0.4816249461</v>
      </c>
      <c r="G21" s="203">
        <f t="shared" si="6"/>
        <v>0.3276588007</v>
      </c>
      <c r="H21" s="203">
        <f t="shared" si="6"/>
        <v>0.2374619632</v>
      </c>
      <c r="I21" s="203">
        <f t="shared" si="6"/>
        <v>0.07851596165</v>
      </c>
      <c r="J21" s="203">
        <f t="shared" si="6"/>
        <v>0.06379585327</v>
      </c>
      <c r="K21" s="179"/>
      <c r="L21" s="179"/>
      <c r="M21" s="179"/>
      <c r="N21" s="179"/>
      <c r="O21" s="179"/>
      <c r="P21" s="179"/>
      <c r="Q21" s="179"/>
      <c r="R21" s="179"/>
      <c r="S21" s="179"/>
      <c r="T21" s="179"/>
      <c r="U21" s="179"/>
      <c r="V21" s="179"/>
      <c r="W21" s="179"/>
      <c r="X21" s="179"/>
      <c r="Y21" s="179"/>
      <c r="Z21" s="179"/>
    </row>
    <row r="22" ht="15.0" customHeight="1">
      <c r="A22" s="196" t="s">
        <v>269</v>
      </c>
      <c r="B22" s="197" t="s">
        <v>265</v>
      </c>
      <c r="C22" s="204" t="s">
        <v>18</v>
      </c>
      <c r="D22" s="201">
        <f>'3. Chi phí chi tiết'!C27</f>
        <v>2235</v>
      </c>
      <c r="E22" s="201">
        <f>'3. Chi phí chi tiết'!D27</f>
        <v>2744.327999</v>
      </c>
      <c r="F22" s="201">
        <f>'3. Chi phí chi tiết'!E27</f>
        <v>3767.742</v>
      </c>
      <c r="G22" s="201">
        <f>'3. Chi phí chi tiết'!F27</f>
        <v>5122.956001</v>
      </c>
      <c r="H22" s="201">
        <f>'3. Chi phí chi tiết'!G27</f>
        <v>6202.676251</v>
      </c>
      <c r="I22" s="201">
        <f>'3. Chi phí chi tiết'!H27</f>
        <v>6997.591586</v>
      </c>
      <c r="J22" s="201">
        <f>'3. Chi phí chi tiết'!I27</f>
        <v>7602.522166</v>
      </c>
      <c r="K22" s="179"/>
      <c r="L22" s="179"/>
      <c r="M22" s="179"/>
      <c r="N22" s="179"/>
      <c r="O22" s="179"/>
      <c r="P22" s="179"/>
      <c r="Q22" s="179"/>
      <c r="R22" s="179"/>
      <c r="S22" s="179"/>
      <c r="T22" s="179"/>
      <c r="U22" s="179"/>
      <c r="V22" s="179"/>
      <c r="W22" s="179"/>
      <c r="X22" s="179"/>
      <c r="Y22" s="179"/>
      <c r="Z22" s="179"/>
    </row>
    <row r="23" ht="15.0" customHeight="1">
      <c r="A23" s="192" t="s">
        <v>270</v>
      </c>
      <c r="B23" s="193" t="s">
        <v>265</v>
      </c>
      <c r="C23" s="205"/>
      <c r="D23" s="205">
        <f t="shared" ref="D23:J23" si="7">D22/D13</f>
        <v>2088.785047</v>
      </c>
      <c r="E23" s="205">
        <f t="shared" si="7"/>
        <v>2397.002358</v>
      </c>
      <c r="F23" s="205">
        <f t="shared" si="7"/>
        <v>3075.599795</v>
      </c>
      <c r="G23" s="205">
        <f t="shared" si="7"/>
        <v>3908.278605</v>
      </c>
      <c r="H23" s="205">
        <f t="shared" si="7"/>
        <v>4422.422443</v>
      </c>
      <c r="I23" s="205">
        <f t="shared" si="7"/>
        <v>4662.790739</v>
      </c>
      <c r="J23" s="205">
        <f t="shared" si="7"/>
        <v>4734.468716</v>
      </c>
      <c r="K23" s="179"/>
      <c r="L23" s="179"/>
      <c r="M23" s="179"/>
      <c r="N23" s="179"/>
      <c r="O23" s="179"/>
      <c r="P23" s="179"/>
      <c r="Q23" s="179"/>
      <c r="R23" s="179"/>
      <c r="S23" s="179"/>
      <c r="T23" s="179"/>
      <c r="U23" s="179"/>
      <c r="V23" s="179"/>
      <c r="W23" s="179"/>
      <c r="X23" s="179"/>
      <c r="Y23" s="179"/>
      <c r="Z23" s="179"/>
    </row>
    <row r="24" ht="15.0" customHeight="1">
      <c r="A24" s="206" t="s">
        <v>271</v>
      </c>
      <c r="B24" s="207" t="s">
        <v>265</v>
      </c>
      <c r="C24" s="208"/>
      <c r="D24" s="208">
        <f t="shared" ref="D24:J24" si="8">D20-D23</f>
        <v>351.4063414</v>
      </c>
      <c r="E24" s="208">
        <f t="shared" si="8"/>
        <v>788.2727033</v>
      </c>
      <c r="F24" s="208">
        <f t="shared" si="8"/>
        <v>1643.783196</v>
      </c>
      <c r="G24" s="208">
        <f t="shared" si="8"/>
        <v>2357.451757</v>
      </c>
      <c r="H24" s="208">
        <f t="shared" si="8"/>
        <v>3331.180551</v>
      </c>
      <c r="I24" s="208">
        <f t="shared" si="8"/>
        <v>3699.593851</v>
      </c>
      <c r="J24" s="208">
        <f t="shared" si="8"/>
        <v>4161.401334</v>
      </c>
      <c r="K24" s="179"/>
      <c r="L24" s="179"/>
      <c r="M24" s="179"/>
      <c r="N24" s="179"/>
      <c r="O24" s="179"/>
      <c r="P24" s="179"/>
      <c r="Q24" s="179"/>
      <c r="R24" s="179"/>
      <c r="S24" s="179"/>
      <c r="T24" s="179"/>
      <c r="U24" s="179"/>
      <c r="V24" s="179"/>
      <c r="W24" s="179"/>
      <c r="X24" s="179"/>
      <c r="Y24" s="179"/>
      <c r="Z24" s="179"/>
    </row>
    <row r="25" ht="14.25" customHeight="1">
      <c r="A25" s="179"/>
      <c r="B25" s="179"/>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ht="14.25" customHeight="1">
      <c r="A26" s="179"/>
      <c r="B26" s="179"/>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ht="19.5" customHeight="1">
      <c r="A27" s="181" t="s">
        <v>272</v>
      </c>
      <c r="B27" s="11"/>
      <c r="C27" s="11"/>
      <c r="D27" s="11"/>
      <c r="E27" s="11"/>
      <c r="F27" s="11"/>
      <c r="G27" s="11"/>
      <c r="H27" s="11"/>
      <c r="I27" s="11"/>
      <c r="J27" s="12"/>
      <c r="K27" s="179"/>
      <c r="L27" s="179"/>
      <c r="M27" s="179"/>
      <c r="N27" s="179"/>
      <c r="O27" s="179"/>
      <c r="P27" s="179"/>
      <c r="Q27" s="179"/>
      <c r="R27" s="179"/>
      <c r="S27" s="179"/>
      <c r="T27" s="179"/>
      <c r="U27" s="179"/>
      <c r="V27" s="179"/>
      <c r="W27" s="179"/>
      <c r="X27" s="179"/>
      <c r="Y27" s="179"/>
      <c r="Z27" s="179"/>
    </row>
    <row r="28" ht="15.0" customHeight="1">
      <c r="A28" s="182" t="s">
        <v>13</v>
      </c>
      <c r="B28" s="182" t="s">
        <v>16</v>
      </c>
      <c r="C28" s="182" t="s">
        <v>253</v>
      </c>
      <c r="D28" s="182" t="s">
        <v>6</v>
      </c>
      <c r="E28" s="182" t="s">
        <v>7</v>
      </c>
      <c r="F28" s="182" t="s">
        <v>8</v>
      </c>
      <c r="G28" s="182" t="s">
        <v>9</v>
      </c>
      <c r="H28" s="182" t="s">
        <v>10</v>
      </c>
      <c r="I28" s="182" t="s">
        <v>11</v>
      </c>
      <c r="J28" s="182" t="s">
        <v>12</v>
      </c>
      <c r="K28" s="179"/>
      <c r="L28" s="179"/>
      <c r="M28" s="179"/>
      <c r="N28" s="179"/>
      <c r="O28" s="179"/>
      <c r="P28" s="179"/>
      <c r="Q28" s="179"/>
      <c r="R28" s="179"/>
      <c r="S28" s="179"/>
      <c r="T28" s="179"/>
      <c r="U28" s="179"/>
      <c r="V28" s="179"/>
      <c r="W28" s="179"/>
      <c r="X28" s="179"/>
      <c r="Y28" s="179"/>
      <c r="Z28" s="179"/>
    </row>
    <row r="29" ht="15.0" customHeight="1">
      <c r="A29" s="191" t="s">
        <v>273</v>
      </c>
      <c r="B29" s="11"/>
      <c r="C29" s="11"/>
      <c r="D29" s="11"/>
      <c r="E29" s="11"/>
      <c r="F29" s="11"/>
      <c r="G29" s="11"/>
      <c r="H29" s="11"/>
      <c r="I29" s="11"/>
      <c r="J29" s="12"/>
      <c r="K29" s="179"/>
      <c r="L29" s="179"/>
      <c r="M29" s="179"/>
      <c r="N29" s="179"/>
      <c r="O29" s="179"/>
      <c r="P29" s="179"/>
      <c r="Q29" s="179"/>
      <c r="R29" s="179"/>
      <c r="S29" s="179"/>
      <c r="T29" s="179"/>
      <c r="U29" s="179"/>
      <c r="V29" s="179"/>
      <c r="W29" s="179"/>
      <c r="X29" s="179"/>
      <c r="Y29" s="179"/>
      <c r="Z29" s="179"/>
    </row>
    <row r="30" ht="15.0" customHeight="1">
      <c r="A30" s="182" t="s">
        <v>274</v>
      </c>
      <c r="B30" s="209" t="s">
        <v>275</v>
      </c>
      <c r="C30" s="209" t="s">
        <v>276</v>
      </c>
      <c r="D30" s="209" t="s">
        <v>277</v>
      </c>
      <c r="E30" s="209" t="s">
        <v>278</v>
      </c>
      <c r="F30" s="182"/>
      <c r="G30" s="210"/>
      <c r="H30" s="210"/>
      <c r="I30" s="210"/>
      <c r="J30" s="210"/>
      <c r="K30" s="179"/>
      <c r="L30" s="179"/>
      <c r="M30" s="179"/>
      <c r="N30" s="179"/>
      <c r="O30" s="179"/>
      <c r="P30" s="179"/>
      <c r="Q30" s="179"/>
      <c r="R30" s="179"/>
      <c r="S30" s="179"/>
      <c r="T30" s="179"/>
      <c r="U30" s="179"/>
      <c r="V30" s="179"/>
      <c r="W30" s="179"/>
      <c r="X30" s="179"/>
      <c r="Y30" s="179"/>
      <c r="Z30" s="179"/>
    </row>
    <row r="31" ht="15.0" customHeight="1">
      <c r="A31" s="187" t="s">
        <v>279</v>
      </c>
      <c r="B31" s="201">
        <f>'1. Giả định &amp; Thông số'!$B$5</f>
        <v>1800</v>
      </c>
      <c r="C31" s="211">
        <v>7.0</v>
      </c>
      <c r="D31" s="212">
        <v>0.0</v>
      </c>
      <c r="E31" s="205">
        <f t="shared" ref="E31:E34" si="9">B31/C31</f>
        <v>257.1428571</v>
      </c>
      <c r="F31" s="213"/>
      <c r="G31" s="213"/>
      <c r="H31" s="213"/>
      <c r="I31" s="213"/>
      <c r="J31" s="213"/>
      <c r="K31" s="179"/>
      <c r="L31" s="179"/>
      <c r="M31" s="179"/>
      <c r="N31" s="179"/>
      <c r="O31" s="179"/>
      <c r="P31" s="179"/>
      <c r="Q31" s="179"/>
      <c r="R31" s="179"/>
      <c r="S31" s="179"/>
      <c r="T31" s="179"/>
      <c r="U31" s="179"/>
      <c r="V31" s="179"/>
      <c r="W31" s="179"/>
      <c r="X31" s="179"/>
      <c r="Y31" s="179"/>
      <c r="Z31" s="179"/>
    </row>
    <row r="32" ht="15.0" customHeight="1">
      <c r="A32" s="183" t="s">
        <v>280</v>
      </c>
      <c r="B32" s="214">
        <f>'1. Giả định &amp; Thông số'!$B$6</f>
        <v>444</v>
      </c>
      <c r="C32" s="215">
        <v>7.0</v>
      </c>
      <c r="D32" s="216">
        <v>0.0</v>
      </c>
      <c r="E32" s="202">
        <f t="shared" si="9"/>
        <v>63.42857143</v>
      </c>
      <c r="F32" s="217"/>
      <c r="G32" s="217"/>
      <c r="H32" s="217"/>
      <c r="I32" s="217"/>
      <c r="J32" s="217"/>
      <c r="K32" s="179"/>
      <c r="L32" s="179"/>
      <c r="M32" s="179"/>
      <c r="N32" s="179"/>
      <c r="O32" s="179"/>
      <c r="P32" s="179"/>
      <c r="Q32" s="179"/>
      <c r="R32" s="179"/>
      <c r="S32" s="179"/>
      <c r="T32" s="179"/>
      <c r="U32" s="179"/>
      <c r="V32" s="179"/>
      <c r="W32" s="179"/>
      <c r="X32" s="179"/>
      <c r="Y32" s="179"/>
      <c r="Z32" s="179"/>
    </row>
    <row r="33" ht="15.0" customHeight="1">
      <c r="A33" s="187" t="s">
        <v>281</v>
      </c>
      <c r="B33" s="201">
        <f>'1. Giả định &amp; Thông số'!$B$7</f>
        <v>900</v>
      </c>
      <c r="C33" s="188">
        <v>3.0</v>
      </c>
      <c r="D33" s="212">
        <v>0.0</v>
      </c>
      <c r="E33" s="205">
        <f t="shared" si="9"/>
        <v>300</v>
      </c>
      <c r="F33" s="213"/>
      <c r="G33" s="213"/>
      <c r="H33" s="213"/>
      <c r="I33" s="213"/>
      <c r="J33" s="213"/>
      <c r="K33" s="179"/>
      <c r="L33" s="179"/>
      <c r="M33" s="179"/>
      <c r="N33" s="179"/>
      <c r="O33" s="179"/>
      <c r="P33" s="179"/>
      <c r="Q33" s="179"/>
      <c r="R33" s="179"/>
      <c r="S33" s="179"/>
      <c r="T33" s="179"/>
      <c r="U33" s="179"/>
      <c r="V33" s="179"/>
      <c r="W33" s="179"/>
      <c r="X33" s="179"/>
      <c r="Y33" s="179"/>
      <c r="Z33" s="179"/>
    </row>
    <row r="34" ht="15.0" customHeight="1">
      <c r="A34" s="183" t="s">
        <v>21</v>
      </c>
      <c r="B34" s="214">
        <f>'1. Giả định &amp; Thông số'!$B$4</f>
        <v>10</v>
      </c>
      <c r="C34" s="184">
        <v>1.0</v>
      </c>
      <c r="D34" s="216">
        <v>0.0</v>
      </c>
      <c r="E34" s="202">
        <f t="shared" si="9"/>
        <v>10</v>
      </c>
      <c r="F34" s="217"/>
      <c r="G34" s="217"/>
      <c r="H34" s="217"/>
      <c r="I34" s="217"/>
      <c r="J34" s="217"/>
      <c r="K34" s="179"/>
      <c r="L34" s="179"/>
      <c r="M34" s="179"/>
      <c r="N34" s="179"/>
      <c r="O34" s="179"/>
      <c r="P34" s="179"/>
      <c r="Q34" s="179"/>
      <c r="R34" s="179"/>
      <c r="S34" s="179"/>
      <c r="T34" s="179"/>
      <c r="U34" s="179"/>
      <c r="V34" s="179"/>
      <c r="W34" s="179"/>
      <c r="X34" s="179"/>
      <c r="Y34" s="179"/>
      <c r="Z34" s="179"/>
    </row>
    <row r="35" ht="15.0" customHeight="1">
      <c r="A35" s="206" t="s">
        <v>282</v>
      </c>
      <c r="B35" s="218">
        <f>SUM(B31:B34)</f>
        <v>3154</v>
      </c>
      <c r="C35" s="207" t="s">
        <v>18</v>
      </c>
      <c r="D35" s="218">
        <f t="shared" ref="D35:E35" si="10">SUM(D31:D34)</f>
        <v>0</v>
      </c>
      <c r="E35" s="218">
        <f t="shared" si="10"/>
        <v>630.5714286</v>
      </c>
      <c r="F35" s="219"/>
      <c r="G35" s="219"/>
      <c r="H35" s="219"/>
      <c r="I35" s="219"/>
      <c r="J35" s="219"/>
      <c r="K35" s="179"/>
      <c r="L35" s="179"/>
      <c r="M35" s="179"/>
      <c r="N35" s="179"/>
      <c r="O35" s="179"/>
      <c r="P35" s="179"/>
      <c r="Q35" s="179"/>
      <c r="R35" s="179"/>
      <c r="S35" s="179"/>
      <c r="T35" s="179"/>
      <c r="U35" s="179"/>
      <c r="V35" s="179"/>
      <c r="W35" s="179"/>
      <c r="X35" s="179"/>
      <c r="Y35" s="179"/>
      <c r="Z35" s="179"/>
    </row>
    <row r="36" ht="14.2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ht="15.0" customHeight="1">
      <c r="A37" s="191" t="s">
        <v>283</v>
      </c>
      <c r="B37" s="11"/>
      <c r="C37" s="11"/>
      <c r="D37" s="11"/>
      <c r="E37" s="11"/>
      <c r="F37" s="11"/>
      <c r="G37" s="11"/>
      <c r="H37" s="11"/>
      <c r="I37" s="11"/>
      <c r="J37" s="12"/>
      <c r="K37" s="179"/>
      <c r="L37" s="179"/>
      <c r="M37" s="179"/>
      <c r="N37" s="179"/>
      <c r="O37" s="179"/>
      <c r="P37" s="179"/>
      <c r="Q37" s="179"/>
      <c r="R37" s="179"/>
      <c r="S37" s="179"/>
      <c r="T37" s="179"/>
      <c r="U37" s="179"/>
      <c r="V37" s="179"/>
      <c r="W37" s="179"/>
      <c r="X37" s="179"/>
      <c r="Y37" s="179"/>
      <c r="Z37" s="179"/>
    </row>
    <row r="38" ht="15.0" customHeight="1">
      <c r="A38" s="182" t="s">
        <v>13</v>
      </c>
      <c r="B38" s="182" t="s">
        <v>16</v>
      </c>
      <c r="C38" s="182" t="s">
        <v>253</v>
      </c>
      <c r="D38" s="182" t="s">
        <v>6</v>
      </c>
      <c r="E38" s="182" t="s">
        <v>7</v>
      </c>
      <c r="F38" s="182" t="s">
        <v>8</v>
      </c>
      <c r="G38" s="182" t="s">
        <v>9</v>
      </c>
      <c r="H38" s="182" t="s">
        <v>10</v>
      </c>
      <c r="I38" s="182" t="s">
        <v>11</v>
      </c>
      <c r="J38" s="182" t="s">
        <v>12</v>
      </c>
      <c r="K38" s="179"/>
      <c r="L38" s="179"/>
      <c r="M38" s="179"/>
      <c r="N38" s="179"/>
      <c r="O38" s="179"/>
      <c r="P38" s="179"/>
      <c r="Q38" s="179"/>
      <c r="R38" s="179"/>
      <c r="S38" s="179"/>
      <c r="T38" s="179"/>
      <c r="U38" s="179"/>
      <c r="V38" s="179"/>
      <c r="W38" s="179"/>
      <c r="X38" s="179"/>
      <c r="Y38" s="179"/>
      <c r="Z38" s="179"/>
    </row>
    <row r="39" ht="15.0" customHeight="1">
      <c r="A39" s="192" t="s">
        <v>284</v>
      </c>
      <c r="B39" s="193" t="s">
        <v>18</v>
      </c>
      <c r="C39" s="193" t="s">
        <v>18</v>
      </c>
      <c r="D39" s="205">
        <f t="shared" ref="D39:D42" si="11">E31</f>
        <v>257.1428571</v>
      </c>
      <c r="E39" s="205">
        <f t="shared" ref="E39:E41" si="12">E31</f>
        <v>257.1428571</v>
      </c>
      <c r="F39" s="205">
        <f t="shared" ref="F39:F41" si="13">E31</f>
        <v>257.1428571</v>
      </c>
      <c r="G39" s="205">
        <f t="shared" ref="G39:G40" si="14">E31</f>
        <v>257.1428571</v>
      </c>
      <c r="H39" s="205">
        <f t="shared" ref="H39:H40" si="15">E31</f>
        <v>257.1428571</v>
      </c>
      <c r="I39" s="205">
        <f>E31</f>
        <v>257.1428571</v>
      </c>
      <c r="J39" s="205">
        <f>E31</f>
        <v>257.1428571</v>
      </c>
      <c r="K39" s="179"/>
      <c r="L39" s="179"/>
      <c r="M39" s="179"/>
      <c r="N39" s="179"/>
      <c r="O39" s="179"/>
      <c r="P39" s="179"/>
      <c r="Q39" s="179"/>
      <c r="R39" s="179"/>
      <c r="S39" s="179"/>
      <c r="T39" s="179"/>
      <c r="U39" s="179"/>
      <c r="V39" s="179"/>
      <c r="W39" s="179"/>
      <c r="X39" s="179"/>
      <c r="Y39" s="179"/>
      <c r="Z39" s="179"/>
    </row>
    <row r="40" ht="15.0" customHeight="1">
      <c r="A40" s="196" t="s">
        <v>285</v>
      </c>
      <c r="B40" s="197" t="s">
        <v>18</v>
      </c>
      <c r="C40" s="197" t="s">
        <v>18</v>
      </c>
      <c r="D40" s="202">
        <f t="shared" si="11"/>
        <v>63.42857143</v>
      </c>
      <c r="E40" s="202">
        <f t="shared" si="12"/>
        <v>63.42857143</v>
      </c>
      <c r="F40" s="202">
        <f t="shared" si="13"/>
        <v>63.42857143</v>
      </c>
      <c r="G40" s="202">
        <f t="shared" si="14"/>
        <v>63.42857143</v>
      </c>
      <c r="H40" s="202">
        <f t="shared" si="15"/>
        <v>63.42857143</v>
      </c>
      <c r="I40" s="202" t="str">
        <f t="shared" ref="I40:J40" si="16">F32</f>
        <v/>
      </c>
      <c r="J40" s="202" t="str">
        <f t="shared" si="16"/>
        <v/>
      </c>
      <c r="K40" s="179"/>
      <c r="L40" s="179"/>
      <c r="M40" s="179"/>
      <c r="N40" s="179"/>
      <c r="O40" s="179"/>
      <c r="P40" s="179"/>
      <c r="Q40" s="179"/>
      <c r="R40" s="179"/>
      <c r="S40" s="179"/>
      <c r="T40" s="179"/>
      <c r="U40" s="179"/>
      <c r="V40" s="179"/>
      <c r="W40" s="179"/>
      <c r="X40" s="179"/>
      <c r="Y40" s="179"/>
      <c r="Z40" s="179"/>
    </row>
    <row r="41" ht="15.0" customHeight="1">
      <c r="A41" s="192" t="s">
        <v>286</v>
      </c>
      <c r="B41" s="193" t="s">
        <v>18</v>
      </c>
      <c r="C41" s="193" t="s">
        <v>18</v>
      </c>
      <c r="D41" s="205">
        <f t="shared" si="11"/>
        <v>300</v>
      </c>
      <c r="E41" s="205">
        <f t="shared" si="12"/>
        <v>300</v>
      </c>
      <c r="F41" s="205">
        <f t="shared" si="13"/>
        <v>300</v>
      </c>
      <c r="G41" s="193" t="s">
        <v>18</v>
      </c>
      <c r="H41" s="193" t="s">
        <v>18</v>
      </c>
      <c r="I41" s="193" t="s">
        <v>18</v>
      </c>
      <c r="J41" s="193" t="s">
        <v>18</v>
      </c>
      <c r="K41" s="179"/>
      <c r="L41" s="179"/>
      <c r="M41" s="179"/>
      <c r="N41" s="179"/>
      <c r="O41" s="179"/>
      <c r="P41" s="179"/>
      <c r="Q41" s="179"/>
      <c r="R41" s="179"/>
      <c r="S41" s="179"/>
      <c r="T41" s="179"/>
      <c r="U41" s="179"/>
      <c r="V41" s="179"/>
      <c r="W41" s="179"/>
      <c r="X41" s="179"/>
      <c r="Y41" s="179"/>
      <c r="Z41" s="179"/>
    </row>
    <row r="42" ht="15.0" customHeight="1">
      <c r="A42" s="196" t="s">
        <v>287</v>
      </c>
      <c r="B42" s="197" t="s">
        <v>18</v>
      </c>
      <c r="C42" s="197" t="s">
        <v>18</v>
      </c>
      <c r="D42" s="202">
        <f t="shared" si="11"/>
        <v>10</v>
      </c>
      <c r="E42" s="197" t="s">
        <v>18</v>
      </c>
      <c r="F42" s="197" t="s">
        <v>18</v>
      </c>
      <c r="G42" s="197" t="s">
        <v>18</v>
      </c>
      <c r="H42" s="197" t="s">
        <v>18</v>
      </c>
      <c r="I42" s="197" t="s">
        <v>18</v>
      </c>
      <c r="J42" s="197" t="s">
        <v>18</v>
      </c>
      <c r="K42" s="179"/>
      <c r="L42" s="179"/>
      <c r="M42" s="179"/>
      <c r="N42" s="179"/>
      <c r="O42" s="179"/>
      <c r="P42" s="179"/>
      <c r="Q42" s="179"/>
      <c r="R42" s="179"/>
      <c r="S42" s="179"/>
      <c r="T42" s="179"/>
      <c r="U42" s="179"/>
      <c r="V42" s="179"/>
      <c r="W42" s="179"/>
      <c r="X42" s="179"/>
      <c r="Y42" s="179"/>
      <c r="Z42" s="179"/>
    </row>
    <row r="43" ht="15.0" customHeight="1">
      <c r="A43" s="206" t="s">
        <v>288</v>
      </c>
      <c r="B43" s="207" t="s">
        <v>265</v>
      </c>
      <c r="C43" s="207" t="s">
        <v>18</v>
      </c>
      <c r="D43" s="218">
        <f t="shared" ref="D43:J43" si="17">SUM(D39:D42)</f>
        <v>630.5714286</v>
      </c>
      <c r="E43" s="218">
        <f t="shared" si="17"/>
        <v>620.5714286</v>
      </c>
      <c r="F43" s="218">
        <f t="shared" si="17"/>
        <v>620.5714286</v>
      </c>
      <c r="G43" s="218">
        <f t="shared" si="17"/>
        <v>320.5714286</v>
      </c>
      <c r="H43" s="218">
        <f t="shared" si="17"/>
        <v>320.5714286</v>
      </c>
      <c r="I43" s="218">
        <f t="shared" si="17"/>
        <v>257.1428571</v>
      </c>
      <c r="J43" s="218">
        <f t="shared" si="17"/>
        <v>257.1428571</v>
      </c>
      <c r="K43" s="179"/>
      <c r="L43" s="179"/>
      <c r="M43" s="179"/>
      <c r="N43" s="179"/>
      <c r="O43" s="179"/>
      <c r="P43" s="179"/>
      <c r="Q43" s="179"/>
      <c r="R43" s="179"/>
      <c r="S43" s="179"/>
      <c r="T43" s="179"/>
      <c r="U43" s="179"/>
      <c r="V43" s="179"/>
      <c r="W43" s="179"/>
      <c r="X43" s="179"/>
      <c r="Y43" s="179"/>
      <c r="Z43" s="179"/>
    </row>
    <row r="44" ht="15.0" customHeight="1">
      <c r="A44" s="192" t="s">
        <v>289</v>
      </c>
      <c r="B44" s="193" t="s">
        <v>265</v>
      </c>
      <c r="C44" s="193" t="s">
        <v>18</v>
      </c>
      <c r="D44" s="205">
        <f>D43</f>
        <v>630.5714286</v>
      </c>
      <c r="E44" s="205">
        <f t="shared" ref="E44:J44" si="18">D44+E43</f>
        <v>1251.142857</v>
      </c>
      <c r="F44" s="205">
        <f t="shared" si="18"/>
        <v>1871.714286</v>
      </c>
      <c r="G44" s="205">
        <f t="shared" si="18"/>
        <v>2192.285714</v>
      </c>
      <c r="H44" s="205">
        <f t="shared" si="18"/>
        <v>2512.857143</v>
      </c>
      <c r="I44" s="205">
        <f t="shared" si="18"/>
        <v>2770</v>
      </c>
      <c r="J44" s="205">
        <f t="shared" si="18"/>
        <v>3027.142857</v>
      </c>
      <c r="K44" s="179"/>
      <c r="L44" s="179"/>
      <c r="M44" s="179"/>
      <c r="N44" s="179"/>
      <c r="O44" s="179"/>
      <c r="P44" s="179"/>
      <c r="Q44" s="179"/>
      <c r="R44" s="179"/>
      <c r="S44" s="179"/>
      <c r="T44" s="179"/>
      <c r="U44" s="179"/>
      <c r="V44" s="179"/>
      <c r="W44" s="179"/>
      <c r="X44" s="179"/>
      <c r="Y44" s="179"/>
      <c r="Z44" s="179"/>
    </row>
    <row r="45" ht="15.0" customHeight="1">
      <c r="A45" s="196" t="s">
        <v>290</v>
      </c>
      <c r="B45" s="197" t="s">
        <v>265</v>
      </c>
      <c r="C45" s="202">
        <f>$B$35</f>
        <v>3154</v>
      </c>
      <c r="D45" s="202">
        <f t="shared" ref="D45:J45" si="19">$B$35-D44</f>
        <v>2523.428571</v>
      </c>
      <c r="E45" s="202">
        <f t="shared" si="19"/>
        <v>1902.857143</v>
      </c>
      <c r="F45" s="202">
        <f t="shared" si="19"/>
        <v>1282.285714</v>
      </c>
      <c r="G45" s="202">
        <f t="shared" si="19"/>
        <v>961.7142857</v>
      </c>
      <c r="H45" s="202">
        <f t="shared" si="19"/>
        <v>641.1428571</v>
      </c>
      <c r="I45" s="202">
        <f t="shared" si="19"/>
        <v>384</v>
      </c>
      <c r="J45" s="202">
        <f t="shared" si="19"/>
        <v>126.8571429</v>
      </c>
      <c r="K45" s="179"/>
      <c r="L45" s="179"/>
      <c r="M45" s="179"/>
      <c r="N45" s="179"/>
      <c r="O45" s="179"/>
      <c r="P45" s="179"/>
      <c r="Q45" s="179"/>
      <c r="R45" s="179"/>
      <c r="S45" s="179"/>
      <c r="T45" s="179"/>
      <c r="U45" s="179"/>
      <c r="V45" s="179"/>
      <c r="W45" s="179"/>
      <c r="X45" s="179"/>
      <c r="Y45" s="179"/>
      <c r="Z45" s="179"/>
    </row>
    <row r="46" ht="15.0" customHeight="1">
      <c r="A46" s="192" t="s">
        <v>291</v>
      </c>
      <c r="B46" s="193" t="s">
        <v>268</v>
      </c>
      <c r="C46" s="193" t="s">
        <v>18</v>
      </c>
      <c r="D46" s="203">
        <f t="shared" ref="D46:J46" si="20">D44/$B$35</f>
        <v>0.1999275297</v>
      </c>
      <c r="E46" s="203">
        <f t="shared" si="20"/>
        <v>0.3966844823</v>
      </c>
      <c r="F46" s="203">
        <f t="shared" si="20"/>
        <v>0.5934414349</v>
      </c>
      <c r="G46" s="203">
        <f t="shared" si="20"/>
        <v>0.6950810762</v>
      </c>
      <c r="H46" s="203">
        <f t="shared" si="20"/>
        <v>0.7967207175</v>
      </c>
      <c r="I46" s="203">
        <f t="shared" si="20"/>
        <v>0.8782498415</v>
      </c>
      <c r="J46" s="203">
        <f t="shared" si="20"/>
        <v>0.9597789655</v>
      </c>
      <c r="K46" s="179"/>
      <c r="L46" s="179"/>
      <c r="M46" s="179"/>
      <c r="N46" s="179"/>
      <c r="O46" s="179"/>
      <c r="P46" s="179"/>
      <c r="Q46" s="179"/>
      <c r="R46" s="179"/>
      <c r="S46" s="179"/>
      <c r="T46" s="179"/>
      <c r="U46" s="179"/>
      <c r="V46" s="179"/>
      <c r="W46" s="179"/>
      <c r="X46" s="179"/>
      <c r="Y46" s="179"/>
      <c r="Z46" s="179"/>
    </row>
    <row r="47" ht="14.2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ht="14.2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ht="19.5" customHeight="1">
      <c r="A49" s="181" t="s">
        <v>292</v>
      </c>
      <c r="B49" s="11"/>
      <c r="C49" s="11"/>
      <c r="D49" s="11"/>
      <c r="E49" s="11"/>
      <c r="F49" s="11"/>
      <c r="G49" s="11"/>
      <c r="H49" s="11"/>
      <c r="I49" s="11"/>
      <c r="J49" s="12"/>
      <c r="K49" s="179"/>
      <c r="L49" s="179"/>
      <c r="M49" s="179"/>
      <c r="N49" s="179"/>
      <c r="O49" s="179"/>
      <c r="P49" s="179"/>
      <c r="Q49" s="179"/>
      <c r="R49" s="179"/>
      <c r="S49" s="179"/>
      <c r="T49" s="179"/>
      <c r="U49" s="179"/>
      <c r="V49" s="179"/>
      <c r="W49" s="179"/>
      <c r="X49" s="179"/>
      <c r="Y49" s="179"/>
      <c r="Z49" s="179"/>
    </row>
    <row r="50" ht="15.0" customHeight="1">
      <c r="A50" s="182" t="s">
        <v>13</v>
      </c>
      <c r="B50" s="182" t="s">
        <v>16</v>
      </c>
      <c r="C50" s="182" t="s">
        <v>253</v>
      </c>
      <c r="D50" s="182" t="s">
        <v>6</v>
      </c>
      <c r="E50" s="182" t="s">
        <v>7</v>
      </c>
      <c r="F50" s="182" t="s">
        <v>8</v>
      </c>
      <c r="G50" s="182" t="s">
        <v>9</v>
      </c>
      <c r="H50" s="182" t="s">
        <v>10</v>
      </c>
      <c r="I50" s="182" t="s">
        <v>11</v>
      </c>
      <c r="J50" s="182" t="s">
        <v>12</v>
      </c>
      <c r="K50" s="179"/>
      <c r="L50" s="179"/>
      <c r="M50" s="179"/>
      <c r="N50" s="179"/>
      <c r="O50" s="179"/>
      <c r="P50" s="179"/>
      <c r="Q50" s="179"/>
      <c r="R50" s="179"/>
      <c r="S50" s="179"/>
      <c r="T50" s="179"/>
      <c r="U50" s="179"/>
      <c r="V50" s="179"/>
      <c r="W50" s="179"/>
      <c r="X50" s="179"/>
      <c r="Y50" s="179"/>
      <c r="Z50" s="179"/>
    </row>
    <row r="51" ht="15.0" customHeight="1">
      <c r="A51" s="192" t="s">
        <v>293</v>
      </c>
      <c r="B51" s="193" t="s">
        <v>265</v>
      </c>
      <c r="C51" s="200" t="s">
        <v>18</v>
      </c>
      <c r="D51" s="201">
        <f>'4. Báo cáo Thu nhập'!C9</f>
        <v>-315.571428</v>
      </c>
      <c r="E51" s="201">
        <f>'4. Báo cáo Thu nhập'!D9</f>
        <v>113.5005706</v>
      </c>
      <c r="F51" s="201">
        <f>'4. Báo cáo Thu nhập'!E9</f>
        <v>997.2865714</v>
      </c>
      <c r="G51" s="201">
        <f>'4. Báo cáo Thu nhập'!F9</f>
        <v>2028.472573</v>
      </c>
      <c r="H51" s="201">
        <f>'4. Báo cáo Thu nhập'!G9</f>
        <v>3139.152323</v>
      </c>
      <c r="I51" s="201">
        <f>'4. Báo cáo Thu nhập'!H9</f>
        <v>3635.265557</v>
      </c>
      <c r="J51" s="201">
        <f>'4. Báo cáo Thu nhập'!I9</f>
        <v>4246.384977</v>
      </c>
      <c r="K51" s="179"/>
      <c r="L51" s="179"/>
      <c r="M51" s="179"/>
      <c r="N51" s="179"/>
      <c r="O51" s="179"/>
      <c r="P51" s="179"/>
      <c r="Q51" s="179"/>
      <c r="R51" s="179"/>
      <c r="S51" s="179"/>
      <c r="T51" s="179"/>
      <c r="U51" s="179"/>
      <c r="V51" s="179"/>
      <c r="W51" s="179"/>
      <c r="X51" s="179"/>
      <c r="Y51" s="179"/>
      <c r="Z51" s="179"/>
    </row>
    <row r="52" ht="15.0" customHeight="1">
      <c r="A52" s="196" t="s">
        <v>294</v>
      </c>
      <c r="B52" s="197" t="s">
        <v>265</v>
      </c>
      <c r="C52" s="202"/>
      <c r="D52" s="202">
        <f t="shared" ref="D52:J52" si="21">D43</f>
        <v>630.5714286</v>
      </c>
      <c r="E52" s="202">
        <f t="shared" si="21"/>
        <v>620.5714286</v>
      </c>
      <c r="F52" s="202">
        <f t="shared" si="21"/>
        <v>620.5714286</v>
      </c>
      <c r="G52" s="202">
        <f t="shared" si="21"/>
        <v>320.5714286</v>
      </c>
      <c r="H52" s="202">
        <f t="shared" si="21"/>
        <v>320.5714286</v>
      </c>
      <c r="I52" s="202">
        <f t="shared" si="21"/>
        <v>257.1428571</v>
      </c>
      <c r="J52" s="202">
        <f t="shared" si="21"/>
        <v>257.1428571</v>
      </c>
      <c r="K52" s="179"/>
      <c r="L52" s="179"/>
      <c r="M52" s="179"/>
      <c r="N52" s="179"/>
      <c r="O52" s="179"/>
      <c r="P52" s="179"/>
      <c r="Q52" s="179"/>
      <c r="R52" s="179"/>
      <c r="S52" s="179"/>
      <c r="T52" s="179"/>
      <c r="U52" s="179"/>
      <c r="V52" s="179"/>
      <c r="W52" s="179"/>
      <c r="X52" s="179"/>
      <c r="Y52" s="179"/>
      <c r="Z52" s="179"/>
    </row>
    <row r="53" ht="15.0" customHeight="1">
      <c r="A53" s="206" t="s">
        <v>295</v>
      </c>
      <c r="B53" s="207" t="s">
        <v>265</v>
      </c>
      <c r="C53" s="218"/>
      <c r="D53" s="218">
        <f t="shared" ref="D53:J53" si="22">D51+D52</f>
        <v>315.0000006</v>
      </c>
      <c r="E53" s="218">
        <f t="shared" si="22"/>
        <v>734.0719992</v>
      </c>
      <c r="F53" s="218">
        <f t="shared" si="22"/>
        <v>1617.858</v>
      </c>
      <c r="G53" s="218">
        <f t="shared" si="22"/>
        <v>2349.044002</v>
      </c>
      <c r="H53" s="218">
        <f t="shared" si="22"/>
        <v>3459.723752</v>
      </c>
      <c r="I53" s="218">
        <f t="shared" si="22"/>
        <v>3892.408414</v>
      </c>
      <c r="J53" s="218">
        <f t="shared" si="22"/>
        <v>4503.527834</v>
      </c>
      <c r="K53" s="179"/>
      <c r="L53" s="179"/>
      <c r="M53" s="179"/>
      <c r="N53" s="179"/>
      <c r="O53" s="179"/>
      <c r="P53" s="179"/>
      <c r="Q53" s="179"/>
      <c r="R53" s="179"/>
      <c r="S53" s="179"/>
      <c r="T53" s="179"/>
      <c r="U53" s="179"/>
      <c r="V53" s="179"/>
      <c r="W53" s="179"/>
      <c r="X53" s="179"/>
      <c r="Y53" s="179"/>
      <c r="Z53" s="179"/>
    </row>
    <row r="54" ht="15.0" customHeight="1">
      <c r="A54" s="196" t="s">
        <v>296</v>
      </c>
      <c r="B54" s="197" t="s">
        <v>265</v>
      </c>
      <c r="C54" s="202"/>
      <c r="D54" s="202">
        <f t="shared" ref="D54:J54" si="23">D53/D12</f>
        <v>301.4354073</v>
      </c>
      <c r="E54" s="202">
        <f t="shared" si="23"/>
        <v>672.211716</v>
      </c>
      <c r="F54" s="202">
        <f t="shared" si="23"/>
        <v>1417.723471</v>
      </c>
      <c r="G54" s="202">
        <f t="shared" si="23"/>
        <v>1969.817494</v>
      </c>
      <c r="H54" s="202">
        <f t="shared" si="23"/>
        <v>2776.258945</v>
      </c>
      <c r="I54" s="202">
        <f t="shared" si="23"/>
        <v>2988.963833</v>
      </c>
      <c r="J54" s="202">
        <f t="shared" si="23"/>
        <v>3309.320413</v>
      </c>
      <c r="K54" s="179"/>
      <c r="L54" s="179"/>
      <c r="M54" s="179"/>
      <c r="N54" s="179"/>
      <c r="O54" s="179"/>
      <c r="P54" s="179"/>
      <c r="Q54" s="179"/>
      <c r="R54" s="179"/>
      <c r="S54" s="179"/>
      <c r="T54" s="179"/>
      <c r="U54" s="179"/>
      <c r="V54" s="179"/>
      <c r="W54" s="179"/>
      <c r="X54" s="179"/>
      <c r="Y54" s="179"/>
      <c r="Z54" s="179"/>
    </row>
    <row r="55" ht="15.0" customHeight="1">
      <c r="A55" s="192" t="s">
        <v>297</v>
      </c>
      <c r="B55" s="193" t="s">
        <v>268</v>
      </c>
      <c r="C55" s="203"/>
      <c r="D55" s="203">
        <f t="shared" ref="D55:J55" si="24">IFERROR(D53/D19,"-")</f>
        <v>0.123529412</v>
      </c>
      <c r="E55" s="203">
        <f t="shared" si="24"/>
        <v>0.2110372584</v>
      </c>
      <c r="F55" s="203">
        <f t="shared" si="24"/>
        <v>0.3004044118</v>
      </c>
      <c r="G55" s="203">
        <f t="shared" si="24"/>
        <v>0.3143795504</v>
      </c>
      <c r="H55" s="203">
        <f t="shared" si="24"/>
        <v>0.3580604975</v>
      </c>
      <c r="I55" s="203">
        <f t="shared" si="24"/>
        <v>0.3574296064</v>
      </c>
      <c r="J55" s="203">
        <f t="shared" si="24"/>
        <v>0.3720063798</v>
      </c>
      <c r="K55" s="179"/>
      <c r="L55" s="179"/>
      <c r="M55" s="179"/>
      <c r="N55" s="179"/>
      <c r="O55" s="179"/>
      <c r="P55" s="179"/>
      <c r="Q55" s="179"/>
      <c r="R55" s="179"/>
      <c r="S55" s="179"/>
      <c r="T55" s="179"/>
      <c r="U55" s="179"/>
      <c r="V55" s="179"/>
      <c r="W55" s="179"/>
      <c r="X55" s="179"/>
      <c r="Y55" s="179"/>
      <c r="Z55" s="179"/>
    </row>
    <row r="56" ht="15.0" customHeight="1">
      <c r="A56" s="196" t="s">
        <v>298</v>
      </c>
      <c r="B56" s="197" t="s">
        <v>265</v>
      </c>
      <c r="C56" s="202"/>
      <c r="D56" s="202">
        <f t="shared" ref="D56:J56" si="25">D22*(D13-1)</f>
        <v>156.45</v>
      </c>
      <c r="E56" s="202">
        <f t="shared" si="25"/>
        <v>397.6531271</v>
      </c>
      <c r="F56" s="202">
        <f t="shared" si="25"/>
        <v>847.9039629</v>
      </c>
      <c r="G56" s="202">
        <f t="shared" si="25"/>
        <v>1592.194285</v>
      </c>
      <c r="H56" s="202">
        <f t="shared" si="25"/>
        <v>2496.89806</v>
      </c>
      <c r="I56" s="202">
        <f t="shared" si="25"/>
        <v>3503.906497</v>
      </c>
      <c r="J56" s="202">
        <f t="shared" si="25"/>
        <v>4605.467102</v>
      </c>
      <c r="K56" s="179"/>
      <c r="L56" s="179"/>
      <c r="M56" s="179"/>
      <c r="N56" s="179"/>
      <c r="O56" s="179"/>
      <c r="P56" s="179"/>
      <c r="Q56" s="179"/>
      <c r="R56" s="179"/>
      <c r="S56" s="179"/>
      <c r="T56" s="179"/>
      <c r="U56" s="179"/>
      <c r="V56" s="179"/>
      <c r="W56" s="179"/>
      <c r="X56" s="179"/>
      <c r="Y56" s="179"/>
      <c r="Z56" s="179"/>
    </row>
    <row r="57" ht="15.0" customHeight="1">
      <c r="A57" s="206" t="s">
        <v>299</v>
      </c>
      <c r="B57" s="207" t="s">
        <v>265</v>
      </c>
      <c r="C57" s="218"/>
      <c r="D57" s="218">
        <f t="shared" ref="D57:J57" si="26">D54-D56</f>
        <v>144.9854073</v>
      </c>
      <c r="E57" s="218">
        <f t="shared" si="26"/>
        <v>274.5585889</v>
      </c>
      <c r="F57" s="218">
        <f t="shared" si="26"/>
        <v>569.8195083</v>
      </c>
      <c r="G57" s="218">
        <f t="shared" si="26"/>
        <v>377.6232096</v>
      </c>
      <c r="H57" s="218">
        <f t="shared" si="26"/>
        <v>279.3608854</v>
      </c>
      <c r="I57" s="218">
        <f t="shared" si="26"/>
        <v>-514.9426645</v>
      </c>
      <c r="J57" s="218">
        <f t="shared" si="26"/>
        <v>-1296.14669</v>
      </c>
      <c r="K57" s="179"/>
      <c r="L57" s="179"/>
      <c r="M57" s="179"/>
      <c r="N57" s="179"/>
      <c r="O57" s="179"/>
      <c r="P57" s="179"/>
      <c r="Q57" s="179"/>
      <c r="R57" s="179"/>
      <c r="S57" s="179"/>
      <c r="T57" s="179"/>
      <c r="U57" s="179"/>
      <c r="V57" s="179"/>
      <c r="W57" s="179"/>
      <c r="X57" s="179"/>
      <c r="Y57" s="179"/>
      <c r="Z57" s="179"/>
    </row>
    <row r="58" ht="14.2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ht="14.2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ht="15.0" customHeight="1">
      <c r="A60" s="181" t="s">
        <v>300</v>
      </c>
      <c r="B60" s="11"/>
      <c r="C60" s="11"/>
      <c r="D60" s="11"/>
      <c r="E60" s="11"/>
      <c r="F60" s="11"/>
      <c r="G60" s="11"/>
      <c r="H60" s="11"/>
      <c r="I60" s="11"/>
      <c r="J60" s="12"/>
      <c r="K60" s="179"/>
      <c r="L60" s="179"/>
      <c r="M60" s="179"/>
      <c r="N60" s="179"/>
      <c r="O60" s="179"/>
      <c r="P60" s="179"/>
      <c r="Q60" s="179"/>
      <c r="R60" s="179"/>
      <c r="S60" s="179"/>
      <c r="T60" s="179"/>
      <c r="U60" s="179"/>
      <c r="V60" s="179"/>
      <c r="W60" s="179"/>
      <c r="X60" s="179"/>
      <c r="Y60" s="179"/>
      <c r="Z60" s="179"/>
    </row>
    <row r="61" ht="15.75" customHeight="1">
      <c r="A61" s="220" t="s">
        <v>301</v>
      </c>
      <c r="B61" s="11"/>
      <c r="C61" s="11"/>
      <c r="D61" s="11"/>
      <c r="E61" s="11"/>
      <c r="F61" s="11"/>
      <c r="G61" s="11"/>
      <c r="H61" s="11"/>
      <c r="I61" s="11"/>
      <c r="J61" s="12"/>
      <c r="K61" s="179"/>
      <c r="L61" s="179"/>
      <c r="M61" s="179"/>
      <c r="N61" s="179"/>
      <c r="O61" s="179"/>
      <c r="P61" s="179"/>
      <c r="Q61" s="179"/>
      <c r="R61" s="179"/>
      <c r="S61" s="179"/>
      <c r="T61" s="179"/>
      <c r="U61" s="179"/>
      <c r="V61" s="179"/>
      <c r="W61" s="179"/>
      <c r="X61" s="179"/>
      <c r="Y61" s="179"/>
      <c r="Z61" s="179"/>
    </row>
    <row r="62" ht="15.75" customHeight="1">
      <c r="A62" s="220" t="s">
        <v>302</v>
      </c>
      <c r="B62" s="11"/>
      <c r="C62" s="11"/>
      <c r="D62" s="11"/>
      <c r="E62" s="11"/>
      <c r="F62" s="11"/>
      <c r="G62" s="11"/>
      <c r="H62" s="11"/>
      <c r="I62" s="11"/>
      <c r="J62" s="12"/>
      <c r="K62" s="179"/>
      <c r="L62" s="179"/>
      <c r="M62" s="179"/>
      <c r="N62" s="179"/>
      <c r="O62" s="179"/>
      <c r="P62" s="179"/>
      <c r="Q62" s="179"/>
      <c r="R62" s="179"/>
      <c r="S62" s="179"/>
      <c r="T62" s="179"/>
      <c r="U62" s="179"/>
      <c r="V62" s="179"/>
      <c r="W62" s="179"/>
      <c r="X62" s="179"/>
      <c r="Y62" s="179"/>
      <c r="Z62" s="179"/>
    </row>
    <row r="63" ht="15.75" customHeight="1">
      <c r="A63" s="220" t="s">
        <v>303</v>
      </c>
      <c r="B63" s="11"/>
      <c r="C63" s="11"/>
      <c r="D63" s="11"/>
      <c r="E63" s="11"/>
      <c r="F63" s="11"/>
      <c r="G63" s="11"/>
      <c r="H63" s="11"/>
      <c r="I63" s="11"/>
      <c r="J63" s="12"/>
      <c r="K63" s="179"/>
      <c r="L63" s="179"/>
      <c r="M63" s="179"/>
      <c r="N63" s="179"/>
      <c r="O63" s="179"/>
      <c r="P63" s="179"/>
      <c r="Q63" s="179"/>
      <c r="R63" s="179"/>
      <c r="S63" s="179"/>
      <c r="T63" s="179"/>
      <c r="U63" s="179"/>
      <c r="V63" s="179"/>
      <c r="W63" s="179"/>
      <c r="X63" s="179"/>
      <c r="Y63" s="179"/>
      <c r="Z63" s="179"/>
    </row>
    <row r="64" ht="15.75" customHeight="1">
      <c r="A64" s="220" t="s">
        <v>304</v>
      </c>
      <c r="B64" s="11"/>
      <c r="C64" s="11"/>
      <c r="D64" s="11"/>
      <c r="E64" s="11"/>
      <c r="F64" s="11"/>
      <c r="G64" s="11"/>
      <c r="H64" s="11"/>
      <c r="I64" s="11"/>
      <c r="J64" s="12"/>
      <c r="K64" s="179"/>
      <c r="L64" s="179"/>
      <c r="M64" s="179"/>
      <c r="N64" s="179"/>
      <c r="O64" s="179"/>
      <c r="P64" s="179"/>
      <c r="Q64" s="179"/>
      <c r="R64" s="179"/>
      <c r="S64" s="179"/>
      <c r="T64" s="179"/>
      <c r="U64" s="179"/>
      <c r="V64" s="179"/>
      <c r="W64" s="179"/>
      <c r="X64" s="179"/>
      <c r="Y64" s="179"/>
      <c r="Z64" s="179"/>
    </row>
    <row r="65" ht="15.75" customHeight="1">
      <c r="A65" s="220" t="s">
        <v>305</v>
      </c>
      <c r="B65" s="11"/>
      <c r="C65" s="11"/>
      <c r="D65" s="11"/>
      <c r="E65" s="11"/>
      <c r="F65" s="11"/>
      <c r="G65" s="11"/>
      <c r="H65" s="11"/>
      <c r="I65" s="11"/>
      <c r="J65" s="12"/>
      <c r="K65" s="179"/>
      <c r="L65" s="179"/>
      <c r="M65" s="179"/>
      <c r="N65" s="179"/>
      <c r="O65" s="179"/>
      <c r="P65" s="179"/>
      <c r="Q65" s="179"/>
      <c r="R65" s="179"/>
      <c r="S65" s="179"/>
      <c r="T65" s="179"/>
      <c r="U65" s="179"/>
      <c r="V65" s="179"/>
      <c r="W65" s="179"/>
      <c r="X65" s="179"/>
      <c r="Y65" s="179"/>
      <c r="Z65" s="179"/>
    </row>
    <row r="66" ht="15.75" customHeight="1">
      <c r="A66" s="220" t="s">
        <v>306</v>
      </c>
      <c r="B66" s="11"/>
      <c r="C66" s="11"/>
      <c r="D66" s="11"/>
      <c r="E66" s="11"/>
      <c r="F66" s="11"/>
      <c r="G66" s="11"/>
      <c r="H66" s="11"/>
      <c r="I66" s="11"/>
      <c r="J66" s="12"/>
      <c r="K66" s="179"/>
      <c r="L66" s="179"/>
      <c r="M66" s="179"/>
      <c r="N66" s="179"/>
      <c r="O66" s="179"/>
      <c r="P66" s="179"/>
      <c r="Q66" s="179"/>
      <c r="R66" s="179"/>
      <c r="S66" s="179"/>
      <c r="T66" s="179"/>
      <c r="U66" s="179"/>
      <c r="V66" s="179"/>
      <c r="W66" s="179"/>
      <c r="X66" s="179"/>
      <c r="Y66" s="179"/>
      <c r="Z66" s="179"/>
    </row>
    <row r="67">
      <c r="A67" s="221" t="s">
        <v>307</v>
      </c>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ht="14.2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ht="14.2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ht="14.2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ht="14.2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ht="14.2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ht="14.2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ht="14.2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ht="14.2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ht="14.2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ht="14.2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ht="14.2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ht="14.2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ht="14.2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ht="14.2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ht="14.2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ht="14.2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ht="14.2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ht="14.2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ht="14.2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ht="14.2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ht="14.2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ht="14.2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ht="14.2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ht="14.2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ht="14.2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ht="14.2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ht="14.2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ht="14.2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ht="14.2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ht="14.2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ht="14.2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ht="14.2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ht="14.2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ht="14.2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ht="14.2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ht="14.2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ht="14.2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ht="14.2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ht="14.2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ht="14.2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ht="14.2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ht="14.2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ht="14.2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ht="14.2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ht="14.2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ht="14.2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ht="14.2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ht="14.2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ht="14.2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ht="14.2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ht="14.2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ht="14.2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ht="14.2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ht="14.2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ht="14.2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ht="14.2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ht="14.2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ht="14.2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ht="14.2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ht="14.2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ht="14.2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ht="14.2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ht="14.2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ht="14.2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ht="14.2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ht="14.2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ht="14.2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ht="14.2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ht="14.2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ht="14.2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ht="14.2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ht="14.2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ht="14.2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ht="14.2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ht="14.2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ht="14.2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ht="14.2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ht="14.2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ht="14.2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ht="14.2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ht="14.2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ht="14.2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ht="14.2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ht="14.2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ht="14.2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ht="14.2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ht="14.2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ht="14.2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ht="14.2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ht="14.2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ht="14.2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ht="14.2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ht="14.2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ht="14.2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ht="14.2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ht="14.2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ht="14.2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ht="14.2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ht="14.2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ht="14.2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ht="14.2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ht="14.2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ht="14.2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ht="14.2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ht="14.2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ht="14.2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ht="14.2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ht="14.2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ht="14.2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ht="14.2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ht="14.2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ht="14.2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ht="14.2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ht="14.2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ht="14.2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ht="14.2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ht="14.2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ht="14.2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ht="14.2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ht="14.2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ht="14.2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ht="14.2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ht="14.2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ht="14.2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ht="14.2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ht="14.2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ht="14.2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ht="14.2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ht="14.2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ht="14.2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ht="14.2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ht="14.2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ht="14.2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ht="14.2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ht="14.2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ht="14.2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ht="14.2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ht="14.2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ht="14.2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ht="14.2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ht="14.2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ht="14.2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ht="14.2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ht="14.2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ht="14.2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ht="14.2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ht="14.2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ht="14.2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ht="14.2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ht="14.2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ht="14.2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ht="14.2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ht="14.2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ht="14.2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ht="14.2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ht="14.2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ht="14.2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ht="14.2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ht="14.2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ht="14.2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ht="14.2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ht="14.2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ht="14.2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ht="14.2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ht="14.2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ht="14.2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ht="14.2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ht="14.2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ht="14.2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ht="14.2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ht="14.2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ht="14.2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ht="14.2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ht="14.2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ht="14.2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ht="14.2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ht="14.2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ht="14.2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ht="14.2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ht="14.2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ht="14.2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ht="14.2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ht="14.2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ht="14.2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ht="14.2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ht="14.2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ht="14.2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ht="14.2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ht="14.2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ht="14.2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ht="14.2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ht="14.2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ht="14.2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ht="14.2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ht="14.2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ht="14.2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ht="14.2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ht="14.2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ht="14.2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ht="14.2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ht="14.2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ht="14.2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ht="14.2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ht="14.2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ht="14.2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ht="14.2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ht="14.2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ht="14.2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ht="14.2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ht="14.2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ht="14.2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ht="14.2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ht="14.2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ht="14.2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ht="14.2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ht="14.2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ht="14.2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ht="14.2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ht="14.2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ht="14.2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ht="14.2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ht="14.2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ht="14.2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ht="14.2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ht="14.2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ht="14.2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ht="14.2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ht="14.2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ht="14.2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ht="14.2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ht="14.2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ht="14.2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ht="14.2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ht="14.2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ht="14.2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ht="14.2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ht="14.2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ht="14.2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ht="14.2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ht="14.2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ht="14.2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ht="14.2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ht="14.2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ht="14.2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ht="14.2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ht="14.2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ht="14.2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ht="14.2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ht="14.2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ht="14.2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ht="14.2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ht="14.2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ht="14.2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ht="14.2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ht="14.2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ht="14.2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ht="14.2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ht="14.2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ht="14.2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ht="14.2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ht="14.2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ht="14.2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ht="14.2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ht="14.2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ht="14.2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ht="14.2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ht="14.2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ht="14.2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ht="14.2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ht="14.2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ht="14.2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ht="14.2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ht="14.2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ht="14.2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ht="14.2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ht="14.2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ht="14.2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ht="14.2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ht="14.2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ht="14.2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ht="14.2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ht="14.2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ht="14.2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ht="14.2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ht="14.2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ht="14.2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ht="14.2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ht="14.2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ht="14.2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ht="14.2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ht="14.2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ht="14.2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ht="14.2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ht="14.2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ht="14.2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ht="14.2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ht="14.2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ht="14.2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ht="14.2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ht="14.2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ht="14.2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ht="14.2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ht="14.2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ht="14.2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ht="14.2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ht="14.2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ht="14.2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ht="14.2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ht="14.2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ht="14.2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ht="14.2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ht="14.2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ht="14.2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ht="14.2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ht="14.2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ht="14.2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ht="14.2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ht="14.2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ht="14.2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ht="14.2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ht="14.2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ht="14.2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ht="14.2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ht="14.2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ht="14.2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ht="14.2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ht="14.2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ht="14.2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ht="14.2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ht="14.2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ht="14.2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ht="14.2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ht="14.2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ht="14.2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ht="14.2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ht="14.2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ht="14.2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ht="14.2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ht="14.2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ht="14.2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ht="14.2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ht="14.2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ht="14.2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ht="14.2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ht="14.2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ht="14.2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ht="14.2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ht="14.2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ht="14.2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ht="14.2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ht="14.2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ht="14.2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ht="14.2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ht="14.2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ht="14.2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ht="14.2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ht="14.2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ht="14.2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ht="14.2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ht="14.2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ht="14.2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ht="14.2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ht="14.2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ht="14.2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ht="14.2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ht="14.2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ht="14.2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ht="14.2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ht="14.2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ht="14.2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ht="14.2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ht="14.2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ht="14.2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ht="14.2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ht="14.2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ht="14.2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ht="14.2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ht="14.2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ht="14.2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ht="14.2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ht="14.2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ht="14.2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ht="14.2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ht="14.2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ht="14.2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ht="14.2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ht="14.2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ht="14.2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ht="14.2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ht="14.2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ht="14.2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ht="14.2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ht="14.2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ht="14.2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ht="14.2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ht="14.2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ht="14.2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ht="14.2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ht="14.2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ht="14.2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ht="14.2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ht="14.2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ht="14.2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ht="14.2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ht="14.2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ht="14.2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ht="14.2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ht="14.2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ht="14.2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ht="14.2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ht="14.2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ht="14.2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ht="14.2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ht="14.2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ht="14.2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ht="14.2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ht="14.2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ht="14.2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ht="14.2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ht="14.2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ht="14.2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ht="14.2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ht="14.2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ht="14.2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ht="14.2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ht="14.2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ht="14.2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ht="14.2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ht="14.2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ht="14.2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ht="14.2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ht="14.2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ht="14.2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ht="14.2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ht="14.2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ht="14.2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ht="14.2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ht="14.2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ht="14.2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ht="14.2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ht="14.2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ht="14.2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ht="14.2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ht="14.2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ht="14.2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ht="14.2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ht="14.2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ht="14.2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ht="14.2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ht="14.2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ht="14.2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ht="14.2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ht="14.2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ht="14.2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ht="14.2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ht="14.2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ht="14.2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ht="14.2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ht="14.2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ht="14.2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ht="14.2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ht="14.2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ht="14.2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ht="14.2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ht="14.2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ht="14.2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ht="14.2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ht="14.2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ht="14.2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ht="14.2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ht="14.2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ht="14.2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ht="14.2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ht="14.2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ht="14.2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ht="14.2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ht="14.2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ht="14.2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ht="14.2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ht="14.2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ht="14.2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ht="14.2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ht="14.2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ht="14.2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ht="14.2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ht="14.2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ht="14.2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ht="14.2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ht="14.2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ht="14.2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ht="14.2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ht="14.2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ht="14.2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ht="14.2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ht="14.2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ht="14.2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ht="14.2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ht="14.2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ht="14.2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ht="14.2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ht="14.2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ht="14.2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ht="14.2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ht="14.2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ht="14.2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ht="14.2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ht="14.2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ht="14.2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ht="14.2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ht="14.2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ht="14.2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ht="14.2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ht="14.2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ht="14.2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ht="14.2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ht="14.2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ht="14.2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ht="14.2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ht="14.2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ht="14.2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ht="14.2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ht="14.2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ht="14.2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ht="14.2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ht="14.2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ht="14.2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ht="14.2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ht="14.2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ht="14.2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ht="14.2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ht="14.2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ht="14.2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ht="14.2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ht="14.2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ht="14.2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ht="14.2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ht="14.2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ht="14.2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ht="14.2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ht="14.2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ht="14.2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ht="14.2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ht="14.2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ht="14.2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ht="14.2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ht="14.2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ht="14.2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ht="14.2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ht="14.2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ht="14.2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ht="14.2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ht="14.2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ht="14.2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ht="14.2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ht="14.2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ht="14.2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ht="14.2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ht="14.2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ht="14.2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ht="14.2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ht="14.2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ht="14.2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ht="14.2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ht="14.2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ht="14.2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ht="14.2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ht="14.2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ht="14.2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ht="14.2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ht="14.2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ht="14.2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ht="14.2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ht="14.2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ht="14.2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ht="14.2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ht="14.2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ht="14.2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ht="14.2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ht="14.2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ht="14.2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ht="14.2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ht="14.2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ht="14.2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ht="14.2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ht="14.2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ht="14.2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ht="14.2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ht="14.2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ht="14.2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ht="14.2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ht="14.2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ht="14.2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ht="14.2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ht="14.2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ht="14.2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ht="14.2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ht="14.2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ht="14.2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ht="14.2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ht="14.2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ht="14.2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ht="14.2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ht="14.2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ht="14.2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ht="14.2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ht="14.2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ht="14.2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ht="14.2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ht="14.2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ht="14.2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ht="14.2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ht="14.2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ht="14.2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ht="14.2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ht="14.2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ht="14.2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ht="14.2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ht="14.2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ht="14.2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ht="14.2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ht="14.2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ht="14.2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ht="14.2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ht="14.2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ht="14.2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ht="14.2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ht="14.2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ht="14.2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ht="14.2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ht="14.2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ht="14.2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ht="14.2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ht="14.2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ht="14.2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ht="14.2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ht="14.2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ht="14.2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ht="14.2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ht="14.2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ht="14.2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ht="14.2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ht="14.2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ht="14.2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ht="14.2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ht="14.2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ht="14.2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ht="14.2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ht="14.2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ht="14.2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ht="14.2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ht="14.2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ht="14.2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ht="14.2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ht="14.2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ht="14.2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ht="14.2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ht="14.2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ht="14.2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ht="14.2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ht="14.2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ht="14.2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ht="14.2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ht="14.2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ht="14.2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ht="14.2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ht="14.2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ht="14.2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ht="14.2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ht="14.2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ht="14.2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ht="14.2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ht="14.2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ht="14.2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ht="14.2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ht="14.2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ht="14.2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ht="14.2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ht="14.2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ht="14.2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ht="14.2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ht="14.2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ht="14.2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ht="14.2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ht="14.2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ht="14.2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ht="14.2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ht="14.2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ht="14.2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ht="14.2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ht="14.2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ht="14.2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ht="14.2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ht="14.2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ht="14.2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ht="14.2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ht="14.2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ht="14.2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ht="14.2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ht="14.2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ht="14.2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ht="14.2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ht="14.2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ht="14.2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ht="14.2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ht="14.2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ht="14.2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ht="14.2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ht="14.2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ht="14.2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ht="14.2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ht="14.2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ht="14.2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ht="14.2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ht="14.2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ht="14.2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ht="14.2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ht="14.2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ht="14.2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ht="14.2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ht="14.2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ht="14.2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ht="14.2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ht="14.2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ht="14.2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ht="14.2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ht="14.2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ht="14.2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ht="14.2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ht="14.2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ht="14.2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ht="14.2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ht="14.2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ht="14.2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ht="14.2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ht="14.2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ht="14.2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ht="14.2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ht="14.2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ht="14.2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ht="14.2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ht="14.2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ht="14.2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ht="14.2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ht="14.2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ht="14.2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ht="14.2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ht="14.2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ht="14.2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ht="14.2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ht="14.2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ht="14.2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ht="14.2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ht="14.2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ht="14.2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ht="14.2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ht="14.2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ht="14.2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ht="14.2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ht="14.2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ht="14.2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ht="14.2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ht="14.2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ht="14.2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ht="14.2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ht="14.2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ht="14.2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ht="14.2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ht="14.2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ht="14.2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ht="14.2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ht="14.2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ht="14.2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ht="14.2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ht="14.2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ht="14.2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ht="14.2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ht="14.2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ht="14.2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ht="14.2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ht="14.2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ht="14.2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ht="14.2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ht="14.2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ht="14.2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ht="14.2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ht="14.2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ht="14.2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ht="14.2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ht="14.2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ht="14.2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ht="14.2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ht="14.2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ht="14.2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ht="14.2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ht="14.2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ht="14.2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ht="14.2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ht="14.2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ht="14.2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ht="14.2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ht="14.2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ht="14.2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ht="14.2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ht="14.2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ht="14.2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ht="14.2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ht="14.2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ht="14.2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ht="14.2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ht="14.2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ht="14.2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ht="14.2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ht="14.2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ht="14.2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ht="14.2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ht="14.2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ht="14.2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ht="14.2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ht="14.2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ht="14.2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ht="14.2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ht="14.2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ht="14.2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ht="14.2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ht="14.2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ht="14.2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ht="14.2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ht="14.2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ht="14.2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ht="14.2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ht="14.2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ht="14.2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ht="14.2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ht="14.2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ht="14.2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ht="14.2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ht="14.2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ht="14.2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ht="14.2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ht="14.2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ht="14.2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ht="14.2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ht="14.2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ht="14.2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ht="14.2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ht="14.2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ht="14.2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ht="14.2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ht="14.2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ht="14.2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ht="14.2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ht="14.2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ht="14.2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ht="14.2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ht="14.2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ht="14.2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ht="14.2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ht="14.2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ht="14.2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ht="14.2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ht="14.2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ht="14.2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ht="14.2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ht="14.2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ht="14.2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ht="14.2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ht="14.2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ht="14.2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ht="14.2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ht="14.2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ht="14.2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ht="14.2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ht="14.2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ht="14.2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ht="14.2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ht="14.2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ht="14.2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ht="14.2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ht="14.2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ht="14.2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ht="14.2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ht="14.2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ht="14.2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ht="14.2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ht="14.2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ht="14.2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ht="14.2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ht="14.2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ht="14.2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ht="14.2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ht="14.2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ht="14.2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ht="14.2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ht="14.2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ht="14.2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ht="14.2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ht="14.2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ht="14.2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ht="14.2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ht="14.2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ht="14.2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ht="14.2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ht="14.2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ht="14.2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ht="14.2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ht="14.2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ht="14.2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ht="14.2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ht="14.2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ht="14.2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ht="14.2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ht="14.2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ht="14.2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ht="14.2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ht="14.2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ht="14.2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ht="14.2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ht="14.2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ht="14.2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ht="14.2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ht="14.2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ht="14.2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ht="14.2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ht="14.2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ht="14.2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ht="14.2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ht="14.2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ht="14.2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ht="14.2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ht="14.2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ht="14.2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ht="14.2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ht="14.2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sheetData>
  <mergeCells count="16">
    <mergeCell ref="A1:J1"/>
    <mergeCell ref="A2:J2"/>
    <mergeCell ref="A4:J4"/>
    <mergeCell ref="A10:J10"/>
    <mergeCell ref="A17:J17"/>
    <mergeCell ref="A27:J27"/>
    <mergeCell ref="A29:J29"/>
    <mergeCell ref="A65:J65"/>
    <mergeCell ref="A66:J66"/>
    <mergeCell ref="A37:J37"/>
    <mergeCell ref="A49:J49"/>
    <mergeCell ref="A60:J60"/>
    <mergeCell ref="A61:J61"/>
    <mergeCell ref="A62:J62"/>
    <mergeCell ref="A63:J63"/>
    <mergeCell ref="A64:J64"/>
  </mergeCells>
  <printOptions/>
  <pageMargins bottom="1.0" footer="0.0" header="0.0" left="0.75" right="0.75" top="1.0"/>
  <pageSetup paperSize="9" orientation="portrait"/>
  <drawing r:id="rId1"/>
</worksheet>
</file>