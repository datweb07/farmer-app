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Giả định &amp; Thông số" sheetId="1" r:id="rId5"/>
    <sheet state="visible" name="2. Báo cáo Ngân lưu" sheetId="2" r:id="rId6"/>
    <sheet state="visible" name="3. Chi phí chi tiết" sheetId="3" r:id="rId7"/>
    <sheet state="visible" name="5. Lịch trả nợ" sheetId="4" r:id="rId8"/>
    <sheet state="visible" name="4. Báo cáo Thu nhập" sheetId="5" r:id="rId9"/>
    <sheet state="visible" name="6. Đánh Giá Tài Chính" sheetId="6" r:id="rId10"/>
    <sheet state="visible" name="7. Lạm phát &amp; Khấu hao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tc={dd74cbb5-42dc-4cac-b0de-bbb5412f5cbf}</author>
  </authors>
  <commentList>
    <comment authorId="0" xr:uid="{dd74cbb5-42dc-4cac-b0de-bbb5412f5c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tc={34c63664-a764-473b-b9ba-6f28a0240702}</author>
  </authors>
  <commentList>
    <comment authorId="0" xr:uid="{34c63664-a764-473b-b9ba-6f28a0240702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Nì giả sử 11% đhong hấy note 10% nè
Reply:
	Đr á nó như dự phóng
</t>
      </text>
    </comment>
  </commentList>
</comments>
</file>

<file path=xl/sharedStrings.xml><?xml version="1.0" encoding="utf-8"?>
<sst xmlns="http://schemas.openxmlformats.org/spreadsheetml/2006/main" count="605" uniqueCount="322">
  <si>
    <t>BÁO CÁO NGÂN LƯU DỰ ÁN - CHAMP MẠNH CHAT  (Đơn vị: Triệu VND)</t>
  </si>
  <si>
    <t>GIẢ ĐỊNH &amp; THÔNG SỐ DỰ ÁN - CHAMP MẠNH CHAT</t>
  </si>
  <si>
    <t>BẢNG CHI PHÍ VẬN HÀNH CHI TIẾT - CHAMP MẠNH CHAT  (Đơn vị: Triệu VND)</t>
  </si>
  <si>
    <t>LỊCH TRẢ NỢ  -  CHAMP MẠNH CHAT  (Đơn vị: Triệu VND)</t>
  </si>
  <si>
    <t>Chỉ tiêu</t>
  </si>
  <si>
    <t>KHOẢN MỤC</t>
  </si>
  <si>
    <t>Giai đoạn dự án: 7 năm  |  WACC: ~14.3%  | Năm: 2026-2034</t>
  </si>
  <si>
    <t>Giá trị</t>
  </si>
  <si>
    <t>Đơn vị</t>
  </si>
  <si>
    <t>Ghi chú</t>
  </si>
  <si>
    <t>Năm 0
(Đầu tư)</t>
  </si>
  <si>
    <t>Năm 1</t>
  </si>
  <si>
    <t>Năm 2</t>
  </si>
  <si>
    <t>Năm 3</t>
  </si>
  <si>
    <t>A. ĐẦU TƯ BAN ĐẦU</t>
  </si>
  <si>
    <t>Năm 4</t>
  </si>
  <si>
    <t>Năm 5</t>
  </si>
  <si>
    <t>Năm 6</t>
  </si>
  <si>
    <t>Năm 7</t>
  </si>
  <si>
    <t>I. CHI PHÍ NHÂN SỰ</t>
  </si>
  <si>
    <t>Chi phí thành lập doanh nghiệp</t>
  </si>
  <si>
    <t>Triệu VND</t>
  </si>
  <si>
    <t>Nguồn vốn vay: 957 triệu | Lãi suất: 11%/năm | Thời hạn: 5 năm | Loại: Annuity | Năm 6-7: Đã hết nợ</t>
  </si>
  <si>
    <t>Thực tế: đăng ký, con dấu, pháp lý 2024-2025</t>
  </si>
  <si>
    <t>I. NGÂN LƯU VÀO (INFLOWS)</t>
  </si>
  <si>
    <t>Dư nợ đầu kỳ</t>
  </si>
  <si>
    <t>-</t>
  </si>
  <si>
    <t>Chi phí phát triển ứng dụng</t>
  </si>
  <si>
    <t>MVP mobile app + AI cơ bản + API BH/NH - outsource VN ~$70-85k; phát triển theo giai đoạn</t>
  </si>
  <si>
    <t>1. Doanh thu phí sử dụng app (từ doanh nghiệp)</t>
  </si>
  <si>
    <t>Giám đốc điều hành</t>
  </si>
  <si>
    <t>Chi phí vật tư, thiết bị (PC, Laptop, Mạng, VP)</t>
  </si>
  <si>
    <t>5 laptop, 2 PC, router, UPS - giá thực tế VN 2024</t>
  </si>
  <si>
    <t>Chi phí ra mắt sản phẩm / triển khai</t>
  </si>
  <si>
    <t>Pilot B2B tập trung: webinar online + onboarding digital (giảm chi phí thuê hội trường)</t>
  </si>
  <si>
    <t xml:space="preserve">  → TỔNG ĐẦU TƯ BAN ĐẦU</t>
  </si>
  <si>
    <t>Lãi phát sinh (10%)</t>
  </si>
  <si>
    <t>Cập nhật theo giả định thực tế</t>
  </si>
  <si>
    <t xml:space="preserve">   → Số DN đối tác</t>
  </si>
  <si>
    <t>B. CẤU TRÚC VỐN</t>
  </si>
  <si>
    <t xml:space="preserve">   → Phí/DN/tháng (triệu)</t>
  </si>
  <si>
    <t>Tỷ trọng vốn vay (D/V)</t>
  </si>
  <si>
    <t>Tỷ lệ</t>
  </si>
  <si>
    <t>40% - tăng tỷ trọng vay để tối ưu WACC (lãi vay có lợi thuế)</t>
  </si>
  <si>
    <t>Tỷ trọng vốn chủ sở hữu (E/V)</t>
  </si>
  <si>
    <t>60%</t>
  </si>
  <si>
    <t>Vốn vay (Debt)</t>
  </si>
  <si>
    <t>Trả nợ gốc</t>
  </si>
  <si>
    <t>Tổng đầu tư × 40%</t>
  </si>
  <si>
    <t>Vốn chủ sở hữu (Equity)</t>
  </si>
  <si>
    <t>2. Doanh thu hoa hồng - Bảo hiểm nông nghiệp</t>
  </si>
  <si>
    <t>Dự kiến</t>
  </si>
  <si>
    <t>TỔNG THANH TOÁN</t>
  </si>
  <si>
    <t xml:space="preserve">   → Doanh thu bán bảo hiểm</t>
  </si>
  <si>
    <t xml:space="preserve">   → Tỷ lệ hoa hồng BH</t>
  </si>
  <si>
    <t>3. Doanh thu hoa hồng - Doanh nghiệp &amp; Ngân hàng</t>
  </si>
  <si>
    <t xml:space="preserve">Nhân sự IT/Kỹ thuật </t>
  </si>
  <si>
    <t xml:space="preserve">   → Giá trị giao dịch trả trước qua nền tảng (5%)</t>
  </si>
  <si>
    <t xml:space="preserve">   → Giá trị giao dịch trả sau qua nền tảng (6%)</t>
  </si>
  <si>
    <t>4. Thu hồi vốn lưu động (cuối dự án - năm 7)</t>
  </si>
  <si>
    <t>Tổng đầu tư × 60%</t>
  </si>
  <si>
    <t>Dư nợ cuối kỳ</t>
  </si>
  <si>
    <t>TỔNG NGÂN LƯU VÀO</t>
  </si>
  <si>
    <t>Lãi suất vay (Rd)</t>
  </si>
  <si>
    <t>Năm</t>
  </si>
  <si>
    <t>Lãi vay DN SME tại VN 2024-2025 (~10.5-12%)</t>
  </si>
  <si>
    <t>Chi phí vốn chủ (Re)</t>
  </si>
  <si>
    <t>Angel investor VN kỳ vọng 18-22%; dùng 18% để phản ánh dự án có dòng tiền rõ ràng</t>
  </si>
  <si>
    <t>II. NGÂN LƯU RA (OUTFLOWS)</t>
  </si>
  <si>
    <t>Thuế TNDN (T)</t>
  </si>
  <si>
    <t>Luật thuế TNDN VN</t>
  </si>
  <si>
    <t>WACC</t>
  </si>
  <si>
    <t>A. Chi phí đầu tư ban đầu (năm 0)</t>
  </si>
  <si>
    <t>Re×E/V + Rd×(1-T)×D/V | Cập nhật theo cấu trúc vốn mới</t>
  </si>
  <si>
    <t>Số kỳ vay / hoàn vốn</t>
  </si>
  <si>
    <t>Thời hạn vay</t>
  </si>
  <si>
    <t>C. NHÂN SỰ &amp; LƯƠNG</t>
  </si>
  <si>
    <t xml:space="preserve">   → Chi phí thành lập DN</t>
  </si>
  <si>
    <t>N1</t>
  </si>
  <si>
    <t xml:space="preserve">   → Chi phí phát triển ứng dụng</t>
  </si>
  <si>
    <t>N2</t>
  </si>
  <si>
    <t>N3</t>
  </si>
  <si>
    <t>N4</t>
  </si>
  <si>
    <t>N5</t>
  </si>
  <si>
    <t>N6</t>
  </si>
  <si>
    <t>N7</t>
  </si>
  <si>
    <t>Lương cơ bản (tr/th)</t>
  </si>
  <si>
    <t xml:space="preserve">   → Chi phí vật tư, thiết bị</t>
  </si>
  <si>
    <t>Nhân sự IT/Kỹ thuật</t>
  </si>
  <si>
    <t xml:space="preserve">   → Chi phí triển khai &amp; ra mắt sản phẩm</t>
  </si>
  <si>
    <t>Nhân sự vận hành hệ thống</t>
  </si>
  <si>
    <t xml:space="preserve">Nhân sự vận hành </t>
  </si>
  <si>
    <t>Nhân sự Marketing</t>
  </si>
  <si>
    <t>B. Chi phí nhân sự (tăng lương 5%/năm)</t>
  </si>
  <si>
    <t>Nhân sự Finance/Kế toán</t>
  </si>
  <si>
    <t>Nhân sự chăm sóc khách hàng</t>
  </si>
  <si>
    <t>Tỷ lệ tăng lương hàng năm</t>
  </si>
  <si>
    <t>7%/năm - thị trường IT VN (lạm phát + cạnh tranh nhân tài)</t>
  </si>
  <si>
    <t>D. GIẢ ĐỊNH DOANH THU</t>
  </si>
  <si>
    <t>Số doanh nghiệp đối tác (N1/N2/N3/N4/N5)</t>
  </si>
  <si>
    <t>8/18/35/60/100/170/220</t>
  </si>
  <si>
    <t>DN</t>
  </si>
  <si>
    <t>N6: 140 DN, N7: 200 DN - tăng trưởng ổn định sau scale</t>
  </si>
  <si>
    <t xml:space="preserve">   → Giám đốc điều hành</t>
  </si>
  <si>
    <t>Phí sử dụng app / DN / tháng</t>
  </si>
  <si>
    <t>Tỷ lệ hoa hồng bảo hiểm</t>
  </si>
  <si>
    <t>Hoa hồng đại lý BH nông nghiệp VN thực tế: 10-20%, dùng 15%</t>
  </si>
  <si>
    <t>Tỷ lệ giá trị giao dịch từ DN (trả trước)</t>
  </si>
  <si>
    <t>Tỷ lệ giá trị giao dịch từ DN (trả sau)</t>
  </si>
  <si>
    <t>E. GIẢ ĐỊNH VỐN LƯU ĐỘNG</t>
  </si>
  <si>
    <t xml:space="preserve">   → Nhân sự IT/Kỹ thuật (×2)</t>
  </si>
  <si>
    <t>Khoản phải thu (AR) / Doanh thu</t>
  </si>
  <si>
    <t>10% DT chưa thu được</t>
  </si>
  <si>
    <t>Khoản phải trả (AP) / Chi phí vận hành</t>
  </si>
  <si>
    <t xml:space="preserve">Nhân sự Marketing </t>
  </si>
  <si>
    <t>10% CP chưa thanh toán</t>
  </si>
  <si>
    <t>Số dư tiền mặt tối thiểu (CB) / Doanh thu</t>
  </si>
  <si>
    <t>2% DT dự phòng</t>
  </si>
  <si>
    <t>F. TỶ LỆ CHI PHÍ HOẠT ĐỘNG / DOANH THU</t>
  </si>
  <si>
    <t>Chi phí hoạt động nền tảng</t>
  </si>
  <si>
    <t xml:space="preserve">   → Nhân sự vận hành, Marketing, Finance, CSKH</t>
  </si>
  <si>
    <t>Tỷ lệ DT</t>
  </si>
  <si>
    <t>15% DT - server, API, cloud; tối ưu hóa cloud cost bằng contract dài hạn AWS/GCP</t>
  </si>
  <si>
    <t>Chi phí Marketing</t>
  </si>
  <si>
    <t>12% DT - tập trung B2B partnership thay vì paid ads; CAC thấp hơn nhờ referral</t>
  </si>
  <si>
    <t>Chi phí R&amp;D</t>
  </si>
  <si>
    <t>10% DT - sau MVP; R&amp;D tập trung feature theo feedback khách hàng, không phát triển ồ ạt</t>
  </si>
  <si>
    <t>Chi phí duy trì công nghệ</t>
  </si>
  <si>
    <t>% CP App</t>
  </si>
  <si>
    <t>15% CP app/năm - tối ưu từ năm 2 nhờ codebase ổn định và hợp đồng dài hạn</t>
  </si>
  <si>
    <t>Chi phí quản lý &amp; hành chính (cố định)</t>
  </si>
  <si>
    <t>Triệu VND/năm</t>
  </si>
  <si>
    <t>VP thuê VN ~15-20tr/th + điện nước + VP phẩm</t>
  </si>
  <si>
    <t>Chi phí tài chính &amp; pháp lý định kỳ (cố định)</t>
  </si>
  <si>
    <t>Kiểm toán + pháp lý fintech/BH phức tạp hơn thường</t>
  </si>
  <si>
    <t>C. Chi phí duy trì công nghệ (15% CP app / năm)</t>
  </si>
  <si>
    <t>G. CÁC CHỈ SỐ THAM CHIẾU BỔ SUNG</t>
  </si>
  <si>
    <t>Thời hạn dự án (năm)</t>
  </si>
  <si>
    <t>Mở rộng lên 7 năm để phản ánh đúng chu kỳ tăng trưởng B2B fintech</t>
  </si>
  <si>
    <t>Tỷ lệ tăng trưởng DN đối tác bình quân (CAGR)</t>
  </si>
  <si>
    <t>D. Chi phí hoạt động nền tảng (15% DT)</t>
  </si>
  <si>
    <t>%/năm</t>
  </si>
  <si>
    <t>CAGR từ 8 DN (N1) → 220 DN (N7)</t>
  </si>
  <si>
    <t>Tỷ suất lợi nhuận mục tiêu (ROE năm 7)</t>
  </si>
  <si>
    <t>Lần</t>
  </si>
  <si>
    <t>ROE = NCF năm 7 / Vốn equity ban đầu</t>
  </si>
  <si>
    <t>Chi phí thu hút khách hàng mục tiêu (CAC)</t>
  </si>
  <si>
    <t>Triệu VND/DN</t>
  </si>
  <si>
    <t>CAC B2B agri-fintech VN ước tính: 10-20 tr/DN</t>
  </si>
  <si>
    <t>E. Chi phí Marketing (15% DT)</t>
  </si>
  <si>
    <t>Giá trị vòng đời khách hàng (LTV)</t>
  </si>
  <si>
    <t>LTV = Phí app 7 năm + Hoa hồng BH 3 năm trung bình</t>
  </si>
  <si>
    <t>Tỷ lệ LTV/CAC</t>
  </si>
  <si>
    <t>LTV/CAC &gt; 3 = kinh doanh bền vững; &gt; 5 = rất tốt</t>
  </si>
  <si>
    <t>ARR mục tiêu cuối Năm 2 (Annual Recurring Revenue)</t>
  </si>
  <si>
    <t>ARR từ phí SaaS: 18 DN × 5tr/tháng × 12 tháng</t>
  </si>
  <si>
    <t>F. Chi phí Quản lý &amp; Hành chính (cố định)</t>
  </si>
  <si>
    <t>G. Chi phí Tài chính &amp; Pháp lý định kỳ</t>
  </si>
  <si>
    <t>Nhân sự CSKH</t>
  </si>
  <si>
    <t>H. Chi phí R&amp;D (12% DT)</t>
  </si>
  <si>
    <t>I. Tăng vốn lưu động thuần (ΔNWC)</t>
  </si>
  <si>
    <t>TỔNG NHÂN SỰ</t>
  </si>
  <si>
    <t xml:space="preserve">   → ΔAR (khoản phải thu tăng thêm)</t>
  </si>
  <si>
    <t>II. CHI PHÍ CÔNG NGHỆ &amp; HẠ TẦNG</t>
  </si>
  <si>
    <t>Duy trì công nghệ (20% × 2,200 triệu)</t>
  </si>
  <si>
    <t>BÁO CÁO THU NHẬP  - CHAMP MẠNH CHAT  (Đơn vị: Triệu VND)</t>
  </si>
  <si>
    <t>J. Thuế TNDN (20% lợi nhuận chịu thuế)</t>
  </si>
  <si>
    <t>TỔNG DOANH THU</t>
  </si>
  <si>
    <t>Hoạt động nền tảng (server, API, IoT, data)</t>
  </si>
  <si>
    <t>TỔNG NGÂN LƯU RA</t>
  </si>
  <si>
    <t xml:space="preserve">  Phí sử dụng app</t>
  </si>
  <si>
    <t xml:space="preserve">  Hoa hồng bảo hiểm</t>
  </si>
  <si>
    <t>TỔNG CÔNG NGHỆ &amp; HẠ TẦNG</t>
  </si>
  <si>
    <t>III. NGÂN LƯU RÒNG TRƯỚC TÀI TRỢ (NCF - TIPV)</t>
  </si>
  <si>
    <t xml:space="preserve">  Hoa hồng DN &amp; NH</t>
  </si>
  <si>
    <t>Ngân lưu ròng TIPV (= Inflow − Outflow)</t>
  </si>
  <si>
    <t>III. CHI PHÍ MARKETING &amp; R&amp;D</t>
  </si>
  <si>
    <t>(-) Chi phí vận hành</t>
  </si>
  <si>
    <t>Ngân lưu ròng TIPV lũy kế</t>
  </si>
  <si>
    <t>Marketing (15% DT)</t>
  </si>
  <si>
    <t>(-) Khấu hao tài sản</t>
  </si>
  <si>
    <t>IV. TÀI TRỢ VỐN VAY &amp; LỊCH TRẢ NỢ</t>
  </si>
  <si>
    <t>R&amp;D (12% DT)</t>
  </si>
  <si>
    <t>Giải ngân vốn vay (năm 0)</t>
  </si>
  <si>
    <t>EBIT</t>
  </si>
  <si>
    <t>(-) Lãi vay</t>
  </si>
  <si>
    <t>Lãi phát sinh trong kỳ (11%/năm)</t>
  </si>
  <si>
    <t>TỔNG MKT &amp; R&amp;D</t>
  </si>
  <si>
    <t>LỢI NHUẬN TRƯỚC THUẾ (EBT)</t>
  </si>
  <si>
    <t>IV. CHI PHÍ CỐ ĐỊNH</t>
  </si>
  <si>
    <t>(-) Thuế TNDN (20%)</t>
  </si>
  <si>
    <t>Quản lý &amp; Hành chính (VP, điện, nước…)</t>
  </si>
  <si>
    <t>Tổng trả nợ (gốc + lãi)</t>
  </si>
  <si>
    <t>THU NHẬP RÒNG (NI)</t>
  </si>
  <si>
    <t>Tài chính &amp; Pháp lý định kỳ</t>
  </si>
  <si>
    <t>Biên lợi nhuận ròng (%)</t>
  </si>
  <si>
    <t>TỔNG CHI PHÍ CỐ ĐỊNH</t>
  </si>
  <si>
    <t>TỔNG CHI PHÍ VẬN HÀNH</t>
  </si>
  <si>
    <t>V. NGÂN LƯU RÒNG SAU TÀI TRỢ (NCF - EPV)</t>
  </si>
  <si>
    <t>NCF_TIPV</t>
  </si>
  <si>
    <t>(+) Giải ngân vốn vay</t>
  </si>
  <si>
    <t>(−) Trả nợ (gốc + lãi)</t>
  </si>
  <si>
    <t>NCF_EPV (Ngân lưu ròng sau tài trợ)</t>
  </si>
  <si>
    <t>NCF_EPV lũy kế</t>
  </si>
  <si>
    <t>VI. CHIẾT KHẤU NGÂN LƯU &amp; CHỈ SỐ TÀI CHÍNH</t>
  </si>
  <si>
    <t>Hệ số chiết khấu (WACC = 14,32%)</t>
  </si>
  <si>
    <t>NCF_EPV đã chiết khấu</t>
  </si>
  <si>
    <t>KẾT QUẢ ĐÁNH GIÁ HIỆU QUẢ TÀI CHÍNH</t>
  </si>
  <si>
    <t>NPV (Giá trị hiện tại ròng)</t>
  </si>
  <si>
    <t>IRR (Tỷ suất sinh lời nội bộ)</t>
  </si>
  <si>
    <t>B/C (Tỷ lệ lợi ích / chi phí)</t>
  </si>
  <si>
    <t xml:space="preserve"> B/C &gt; 1  </t>
  </si>
  <si>
    <t>PP (Thời gian hoàn vốn)</t>
  </si>
  <si>
    <t xml:space="preserve"> Hoàn vốn từ đầu năm thứ 6</t>
  </si>
  <si>
    <t>WACC (Chi phí vốn bình quân)</t>
  </si>
  <si>
    <t xml:space="preserve"> Cập nhật: Re=20% (seed VN thực tế), Rd=11% (lãi SME 2024-2025)</t>
  </si>
  <si>
    <t>CHAMP MẠNH CHAT - ĐÁNH GIÁ HIỆU QUẢ TÀI CHÍNH DỰ ÁN</t>
  </si>
  <si>
    <t>Đơn vị: Triệu VND  |  Quan điểm: Chủ sở hữu (EPV)  |  Năm tính: 2026-2034 (7 năm)</t>
  </si>
  <si>
    <t>CHỈ TIÊU</t>
  </si>
  <si>
    <t>GIÁ TRỊ</t>
  </si>
  <si>
    <t>KẾT QUẢ / ĐÁNH GIÁ</t>
  </si>
  <si>
    <t>NHẬN XÉT CHI TIẾT</t>
  </si>
  <si>
    <t>A. CÁC CHỈ TIÊU TÀI CHÍNH CHÍNH (QUAN ĐIỂM VỐN CHỦ SỞ HỮU - EPV)</t>
  </si>
  <si>
    <t>NPV - Giá trị hiện tại thuần (Net Present Value)</t>
  </si>
  <si>
    <t>NPV &gt; 0: Dự án tạo ra giá trị vượt trên chi phí vốn (WACC).</t>
  </si>
  <si>
    <t>IRR - Tỷ suất sinh lời nội bộ (Internal Rate of Return)</t>
  </si>
  <si>
    <t>IRR là lãi suất làm NPV = 0. Nếu IRR &gt; WACC (14.32%), dự án sinh lợi vượt chi phí vốn. IRR 36.64% &gt;&gt; WACC 14.32% → Dự án tạo ra giá trị vượt trội. Vòng đời 7 năm (2026-2034).</t>
  </si>
  <si>
    <t>MIRR - IRR điều chỉnh (Modified IRR, tái đầu tư = WACC)</t>
  </si>
  <si>
    <t>MIRR thực tế hơn IRR vì giả định tái đầu tư dòng tiền dương ở mức WACC (không phải IRR). Phù hợp đánh giá dự án startup giai đoạn đầu thua lỗ.</t>
  </si>
  <si>
    <t>BCR - Tỷ số lợi ích / chi phí (Benefit-Cost Ratio)</t>
  </si>
  <si>
    <t>BCR = (NPV + Equity ban đầu) / Equity ban đầu. BCR &gt; 1 = mỗi đồng vốn thu về nhiều hơn 1 đồng (đã chiết khấu).</t>
  </si>
  <si>
    <t>EAB - Lợi ích đều quy năm (Equivalent Annual Benefit)</t>
  </si>
  <si>
    <t>EAB phân bổ đều NPV thành lợi ích năm bình quân trong suốt vòng đời dự án. Giúp so sánh các dự án có thời gian khác nhau.</t>
  </si>
  <si>
    <t>PP - Thời gian hoàn vốn (Payback Period, không chiết khấu)</t>
  </si>
  <si>
    <t>DPP - Thời gian hoàn vốn chiết khấu (Discounted Payback Period)</t>
  </si>
  <si>
    <t>Năm 5-6 (chiết khấu)</t>
  </si>
  <si>
    <t>NCF_EPV chiết khấu lũy kế dương từ năm 5-6 → Phù hợp startup B2B fintech 7 năm</t>
  </si>
  <si>
    <t>DPP = thời gian hoàn vốn tính trên dòng tiền đã chiết khấu → chặt chẽ hơn PP thông thường. Startup fintech giai đoạn đầu thường DPP dài hơn PP 1-2 năm.</t>
  </si>
  <si>
    <t>WACC - Chi phí vốn bình quân gia quyền</t>
  </si>
  <si>
    <t>Re=18% × E/V=60% + Rd=11% × (1−20%) × D/V=40% = 18%×0.6 + 8.8%×0.4 = 10.8%+3.52% = 14.32%. Là ngưỡng tối thiểu IRR phải vượt qua để dự án tạo giá trị.</t>
  </si>
  <si>
    <t>B. PHÂN TÍCH ĐỘ NHẠY (SENSITIVITY ANALYSIS) - NPV THEO KỊCH BẢN DOANH THU</t>
  </si>
  <si>
    <t>KỊCH BẢN</t>
  </si>
  <si>
    <t>HỆ SỐ ĐIỀU CHỈNH DOANH THU</t>
  </si>
  <si>
    <t>NPV ƯỚC TÍNH (Tr.VND)</t>
  </si>
  <si>
    <t>NHẬN XÉT</t>
  </si>
  <si>
    <t>Bi quan - Tăng trưởng chậm (50% DT)</t>
  </si>
  <si>
    <t>Thị trường fintech nông nghiệp cạnh tranh cao</t>
  </si>
  <si>
    <t>Thận trọng - Dưới kỳ vọng (75% DT)</t>
  </si>
  <si>
    <t>DN onboarding chậm hơn kế hoạch, một số hợp đồng bị trì hoãn</t>
  </si>
  <si>
    <t>Cơ sở - Đúng kế hoạch (100% DT)</t>
  </si>
  <si>
    <t>Kịch bản chuẩn; hoa hồng BH &amp; NH theo giả định</t>
  </si>
  <si>
    <t>Lạc quan - Vượt kế hoạch (125% DT)</t>
  </si>
  <si>
    <t xml:space="preserve">Quan hệ đối tác tốt, mở rộng nhanh </t>
  </si>
  <si>
    <t>Tốt nhất - Bứt phá (150% DT)</t>
  </si>
  <si>
    <t>Mô hình nhân rộng mạnh, partnership ngân hàng lớn từ năm 2</t>
  </si>
  <si>
    <t>C. PHÂN TÍCH ĐỘ NHẠY - NPV THEO WACC (CHI PHÍ VỐN)</t>
  </si>
  <si>
    <t>MỨC WACC</t>
  </si>
  <si>
    <t>MÔ TẢ</t>
  </si>
  <si>
    <t>Ý NGHĨA</t>
  </si>
  <si>
    <t>Thấp - Lãi suất giảm / rủi ro thấp hơn</t>
  </si>
  <si>
    <t>Thận trọng (WACC giảm, Re=18%)</t>
  </si>
  <si>
    <t>PHÂN TÍCH LẠM PHÁT &amp; KHẤU HAO - CHAMP MẠNH CHAT  (Đơn vị: Triệu VND)</t>
  </si>
  <si>
    <t>Cơ sở (WACC hiện tại = 14,32%)</t>
  </si>
  <si>
    <t>Giai đoạn: 2026–2032 (7 năm)  |  Lạm phát cơ sở: 4.5%/năm  |  Khấu hao: Đường thẳng (Straight-line)</t>
  </si>
  <si>
    <t>I. GIẢ ĐỊNH LẠM PHÁT (INFLATION ASSUMPTIONS)</t>
  </si>
  <si>
    <t>Cao - Rủi ro tăng / lạm phát</t>
  </si>
  <si>
    <t>Năm 0</t>
  </si>
  <si>
    <t>Tỷ lệ lạm phát giả định (CPI VN)</t>
  </si>
  <si>
    <t>Rất cao - Giai đoạn khủng hoảng</t>
  </si>
  <si>
    <t>Tỷ lệ lạm phát nhân sự (lương)</t>
  </si>
  <si>
    <t>Tỷ lệ lạm phát chi phí vận hành</t>
  </si>
  <si>
    <t>Tỷ lệ lạm phát chi phí công nghệ</t>
  </si>
  <si>
    <t>→ Chỉ số giá tích lũy (CPI Index, Năm 0 = 1.000)</t>
  </si>
  <si>
    <t>Chỉ số giá CPI (cơ sở)</t>
  </si>
  <si>
    <t>Chỉ số lương nhân sự</t>
  </si>
  <si>
    <t>Chỉ số chi phí vận hành</t>
  </si>
  <si>
    <t>Chỉ số chi phí công nghệ</t>
  </si>
  <si>
    <t>II. DOANH THU &amp; CHI PHÍ ĐIỀU CHỈNH THEO LẠM PHÁT (Triệu VND - Giá thực tế)</t>
  </si>
  <si>
    <t>Doanh thu danh nghĩa (Nominal - giá gốc)</t>
  </si>
  <si>
    <t>Tr.VND</t>
  </si>
  <si>
    <t>Doanh thu thực tế (Real - điều chỉnh CPI)</t>
  </si>
  <si>
    <t>Tăng trưởng DT thực tế (%)</t>
  </si>
  <si>
    <t>%</t>
  </si>
  <si>
    <t>Chi phí vận hành danh nghĩa (Nominal)</t>
  </si>
  <si>
    <t>Chi phí vận hành thực tế (Real - điều chỉnh CPI)</t>
  </si>
  <si>
    <t>Lợi nhuận ròng thực tế (Real NI)</t>
  </si>
  <si>
    <t>III. LỊCH KHẤU HAO TÀI SẢN CỐ ĐỊNH (DEPRECIATION SCHEDULE)</t>
  </si>
  <si>
    <t>→ A. Thông số tài sản (Giả định khấu hao đường thẳng)</t>
  </si>
  <si>
    <t>Tài sản</t>
  </si>
  <si>
    <t>Nguyên giá
(Tr.VND)</t>
  </si>
  <si>
    <t>Thời hạn KH
(năm)</t>
  </si>
  <si>
    <t>Giá trị còn lại
(Tr.VND)</t>
  </si>
  <si>
    <t>KH/Năm
(Tr.VND)</t>
  </si>
  <si>
    <t>Chi phí phát triển ứng dụng (vốn hóa)</t>
  </si>
  <si>
    <t>Chi phí vật tư &amp; thiết bị (PC, Laptop…)</t>
  </si>
  <si>
    <t>Chi phí ra mắt &amp; triển khai sản phẩm</t>
  </si>
  <si>
    <t>TỔNG NGUYÊN GIÁ TÀI SẢN</t>
  </si>
  <si>
    <t>→ B. Lịch khấu hao theo năm (Đường thẳng - Straight Line)</t>
  </si>
  <si>
    <t>KH - Phát triển ứng dụng</t>
  </si>
  <si>
    <t>KH - Vật tư &amp; thiết bị</t>
  </si>
  <si>
    <t>KH - Ra mắt &amp; triển khai SP</t>
  </si>
  <si>
    <t>KH - Chi phí thành lập DN</t>
  </si>
  <si>
    <t>TỔNG KHẤU HAO HÀNG NĂM</t>
  </si>
  <si>
    <t>Khấu hao lũy kế</t>
  </si>
  <si>
    <t>Giá trị còn lại (Net Book Value)</t>
  </si>
  <si>
    <t>Tỷ lệ KH/Nguyên giá (%)</t>
  </si>
  <si>
    <t>IV. ẢNH HƯỞNG LẠM PHÁT &amp; KHẤU HAO LÊN LỢI NHUẬN (Triệu VND)</t>
  </si>
  <si>
    <t>EBIT (danh nghĩa, từ Báo cáo TN)</t>
  </si>
  <si>
    <t>(+) Cộng lại khấu hao (add-back)</t>
  </si>
  <si>
    <t>EBITDA (danh nghĩa)</t>
  </si>
  <si>
    <t>EBITDA thực tế (Real - điều chỉnh CPI)</t>
  </si>
  <si>
    <t>Biên EBITDA (EBITDA/DT danh nghĩa)</t>
  </si>
  <si>
    <t>Hiệu chỉnh lạm phát lên chi phí (+)</t>
  </si>
  <si>
    <t>Lợi nhuận thực tế sau điều chỉnh</t>
  </si>
  <si>
    <t>V. GHI CHÚ &amp; THAM CHIẾU</t>
  </si>
  <si>
    <t>1. Lạm phát CPI VN 4.5%/năm: dựa theo mục tiêu NHNN Việt Nam và dự báo WB/IMF 2026-2032.</t>
  </si>
  <si>
    <t>2. Lạm phát lương nhân sự 7%/năm: phản ánh thực tế thị trường IT VN, đã được tích hợp vào chi phí nhân sự từ Sheet 1.</t>
  </si>
  <si>
    <t>3. Khấu hao đường thẳng 7 năm: App 1,800Tr/7năm=257.1Tr/năm | Thiết bị 180Tr/7năm=25.7Tr/năm | Triển khai 600Tr/3năm=200Tr/năm | Thành lập 10Tr/1năm.</t>
  </si>
  <si>
    <t>4. Nguyên giá tài sản (B31:B34) liên kết từ Sheet 1 (Giả định &amp; Thông số). Thời hạn KH App &amp; Thiết bị = 7 năm (bằng vòng đời dự án).</t>
  </si>
  <si>
    <t>5. Doanh thu danh nghĩa (row 19) liên kết từ Sheet 2 "TỔNG NGÂN LƯU VÀO". Chi phí danh nghĩa (row 22) liên kết từ Sheet 3 "TỔNG CHI PHÍ VẬN HÀNH".</t>
  </si>
  <si>
    <t>6. EBIT (row 51) liên kết từ Sheet 4. EBITDA = EBIT + Cộng lại khấu hao (add-back). Khấu hao trong Sheet 4 row 8 liên kết ngược từ Sheet 7 row 43.</t>
  </si>
  <si>
    <t>7. Màu XANH DƯƠNG = giả định có thể điều chỉnh | Màu ĐEN = công thức tự tính | Màu XANH LÁ = liên kết từ sheet khác.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</si>
</sst>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;\(#,##0.00\);\-"/>
    <numFmt numFmtId="165" formatCode="#,##0.00_);\(#,##0.00\);\-"/>
    <numFmt numFmtId="166" formatCode="0.0%"/>
    <numFmt numFmtId="167" formatCode="0.0%;\(0.0%\);\-"/>
    <numFmt numFmtId="168" formatCode="#,##0;\(#,##0\);\-"/>
    <numFmt numFmtId="169" formatCode="0.0000"/>
    <numFmt numFmtId="170" formatCode="#,##0.00&quot; Tr&quot;"/>
    <numFmt numFmtId="171" formatCode="#,##0&quot; Tr&quot;"/>
    <numFmt numFmtId="172" formatCode="0.00%;\(0.00%\);\-"/>
    <numFmt numFmtId="173" formatCode="0.000\x"/>
  </numFmts>
  <fonts count="31">
    <font>
      <sz val="11.0"/>
      <color theme="1"/>
      <name val="Calibri"/>
      <scheme val="minor"/>
    </font>
    <font>
      <b/>
      <sz val="17.0"/>
      <color rgb="FFFFFFFF"/>
      <name val="Times New Roman"/>
    </font>
    <font>
      <b/>
      <sz val="18.0"/>
      <color rgb="FFFFFFFF"/>
      <name val="Times New Roman"/>
    </font>
    <font/>
    <font>
      <b/>
      <sz val="12.0"/>
      <color rgb="FFFFFFFF"/>
      <name val="Times New Roman"/>
    </font>
    <font>
      <sz val="12.0"/>
      <color theme="1"/>
      <name val="Times New Roman"/>
    </font>
    <font>
      <i/>
      <sz val="12.0"/>
      <color rgb="FF000000"/>
      <name val="Times New Roman"/>
    </font>
    <font>
      <sz val="12.0"/>
      <color rgb="FF000000"/>
      <name val="Times New Roman"/>
    </font>
    <font>
      <sz val="12.0"/>
      <color rgb="FF0000FF"/>
      <name val="Times New Roman"/>
    </font>
    <font>
      <i/>
      <sz val="12.0"/>
      <color rgb="FF555555"/>
      <name val="Times New Roman"/>
    </font>
    <font>
      <sz val="12.0"/>
      <color rgb="FF008000"/>
      <name val="Times New Roman"/>
    </font>
    <font>
      <b/>
      <sz val="12.0"/>
      <color rgb="FF000000"/>
      <name val="Times New Roman"/>
    </font>
    <font>
      <i/>
      <sz val="12.0"/>
      <color rgb="FF757575"/>
      <name val="Times New Roman"/>
    </font>
    <font>
      <b/>
      <sz val="12.0"/>
      <color rgb="FF1A5C1A"/>
      <name val="Times New Roman"/>
    </font>
    <font>
      <b/>
      <sz val="12.0"/>
      <color rgb="FFB71C1C"/>
      <name val="Times New Roman"/>
    </font>
    <font>
      <b/>
      <sz val="12.0"/>
      <color theme="1"/>
      <name val="Times New Roman"/>
    </font>
    <font>
      <b/>
      <sz val="12.0"/>
      <color rgb="FF1A237E"/>
      <name val="Times New Roman"/>
    </font>
    <font>
      <sz val="12.0"/>
      <color rgb="FF37474F"/>
      <name val="Times New Roman"/>
    </font>
    <font>
      <sz val="12.0"/>
      <color rgb="FF006400"/>
      <name val="Times New Roman"/>
    </font>
    <font>
      <b/>
      <sz val="12.0"/>
      <color rgb="FF4527A0"/>
      <name val="Times New Roman"/>
    </font>
    <font>
      <sz val="10.0"/>
      <color rgb="FF008000"/>
      <name val="Arial"/>
    </font>
    <font>
      <b/>
      <sz val="10.0"/>
      <color rgb="FF000000"/>
      <name val="Arial"/>
    </font>
    <font>
      <sz val="12.0"/>
      <color rgb="FFFF0000"/>
      <name val="Times New Roman"/>
    </font>
    <font>
      <sz val="12.0"/>
      <color rgb="FFFF6600"/>
      <name val="Times New Roman"/>
    </font>
    <font>
      <b/>
      <sz val="12.0"/>
      <color rgb="FFFF0000"/>
      <name val="Times New Roman"/>
    </font>
    <font>
      <sz val="12.0"/>
      <color rgb="FFFFFFFF"/>
      <name val="Times New Roman"/>
    </font>
    <font>
      <b/>
      <sz val="12.0"/>
      <color rgb="FF375623"/>
      <name val="Times New Roman"/>
    </font>
    <font>
      <i/>
      <sz val="12.0"/>
      <color rgb="FF1F4E79"/>
      <name val="Times New Roman"/>
    </font>
    <font>
      <sz val="12.0"/>
      <color rgb="FF595959"/>
      <name val="Times New Roman"/>
    </font>
    <font>
      <b/>
      <sz val="12.0"/>
      <color rgb="FF1F4E79"/>
      <name val="Times New Roman"/>
    </font>
    <font>
      <i/>
      <sz val="12.0"/>
      <color rgb="FF595959"/>
      <name val="Times New Roman"/>
    </font>
  </fonts>
  <fills count="37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A5C1A"/>
        <bgColor rgb="FF1A5C1A"/>
      </patternFill>
    </fill>
    <fill>
      <patternFill patternType="solid">
        <fgColor rgb="FFF5F5F5"/>
        <bgColor rgb="FFF5F5F5"/>
      </patternFill>
    </fill>
    <fill>
      <patternFill patternType="solid">
        <fgColor rgb="FFF1F8E9"/>
        <bgColor rgb="FFF1F8E9"/>
      </patternFill>
    </fill>
    <fill>
      <patternFill patternType="solid">
        <fgColor rgb="FFFBE9E7"/>
        <bgColor rgb="FFFBE9E7"/>
      </patternFill>
    </fill>
    <fill>
      <patternFill patternType="solid">
        <fgColor rgb="FFC8E6C9"/>
        <bgColor rgb="FFC8E6C9"/>
      </patternFill>
    </fill>
    <fill>
      <patternFill patternType="solid">
        <fgColor rgb="FFD9E1F2"/>
        <bgColor rgb="FFD9E1F2"/>
      </patternFill>
    </fill>
    <fill>
      <patternFill patternType="solid">
        <fgColor rgb="FFC62828"/>
        <bgColor rgb="FFC62828"/>
      </patternFill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FCDD2"/>
        <bgColor rgb="FFFFCDD2"/>
      </patternFill>
    </fill>
    <fill>
      <patternFill patternType="solid">
        <fgColor rgb="FF37474A"/>
        <bgColor rgb="FF37474A"/>
      </patternFill>
    </fill>
    <fill>
      <patternFill patternType="solid">
        <fgColor rgb="FFE8EAF6"/>
        <bgColor rgb="FFE8EAF6"/>
      </patternFill>
    </fill>
    <fill>
      <patternFill patternType="solid">
        <fgColor rgb="FF4527A0"/>
        <bgColor rgb="FF4527A0"/>
      </patternFill>
    </fill>
    <fill>
      <patternFill patternType="solid">
        <fgColor rgb="FFEDE7F6"/>
        <bgColor rgb="FFEDE7F6"/>
      </patternFill>
    </fill>
    <fill>
      <patternFill patternType="solid">
        <fgColor rgb="FFBDD7EE"/>
        <bgColor rgb="FFBDD7EE"/>
      </patternFill>
    </fill>
    <fill>
      <patternFill patternType="solid">
        <fgColor rgb="FFD1C4E9"/>
        <bgColor rgb="FFD1C4E9"/>
      </patternFill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E65100"/>
        <bgColor rgb="FFE65100"/>
      </patternFill>
    </fill>
    <fill>
      <patternFill patternType="solid">
        <fgColor rgb="FFFFF8E1"/>
        <bgColor rgb="FFFFF8E1"/>
      </patternFill>
    </fill>
    <fill>
      <patternFill patternType="solid">
        <fgColor rgb="FFFFFF00"/>
        <bgColor rgb="FFFFFF00"/>
      </patternFill>
    </fill>
    <fill>
      <patternFill patternType="solid">
        <fgColor rgb="FFF9FBE7"/>
        <bgColor rgb="FFF9FBE7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DAD6"/>
        <bgColor rgb="FFFFDAD6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  <fill>
      <patternFill patternType="solid">
        <fgColor rgb="FFDEEAF1"/>
        <bgColor rgb="FFDEEAF1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</fills>
  <borders count="20">
    <border/>
    <border>
      <left/>
      <top/>
      <bottom/>
    </border>
    <border>
      <left/>
      <top/>
      <bottom style="thin">
        <color rgb="FFBDBDBD"/>
      </bottom>
    </border>
    <border>
      <top/>
      <bottom/>
    </border>
    <border>
      <top/>
      <bottom style="thin">
        <color rgb="FFBDBDB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/>
      <bottom style="thin">
        <color rgb="FFBDBDBD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/>
      <top style="thin">
        <color rgb="FFBDBDBD"/>
      </top>
      <bottom style="thin">
        <color rgb="FFBDBDBD"/>
      </bottom>
    </border>
    <border>
      <left style="thin">
        <color rgb="FF000000"/>
      </left>
      <top/>
      <bottom/>
    </border>
    <border>
      <left/>
      <right/>
      <top/>
      <bottom/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5" numFmtId="0" xfId="0" applyFont="1"/>
    <xf borderId="10" fillId="2" fontId="4" numFmtId="0" xfId="0" applyAlignment="1" applyBorder="1" applyFill="1" applyFont="1">
      <alignment horizontal="center" shrinkToFit="0" vertical="center" wrapText="1"/>
    </xf>
    <xf borderId="1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0" fillId="0" fontId="8" numFmtId="164" xfId="0" applyAlignment="1" applyBorder="1" applyFont="1" applyNumberFormat="1">
      <alignment horizontal="center" shrinkToFit="0" vertical="center" wrapText="1"/>
    </xf>
    <xf borderId="12" fillId="2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13" fillId="0" fontId="3" numFmtId="0" xfId="0" applyBorder="1" applyFont="1"/>
    <xf borderId="10" fillId="0" fontId="9" numFmtId="0" xfId="0" applyAlignment="1" applyBorder="1" applyFont="1">
      <alignment horizontal="left" shrinkToFit="0" vertical="center" wrapText="1"/>
    </xf>
    <xf borderId="11" fillId="4" fontId="7" numFmtId="0" xfId="0" applyAlignment="1" applyBorder="1" applyFill="1" applyFont="1">
      <alignment horizontal="left" shrinkToFit="0" vertical="center" wrapText="1"/>
    </xf>
    <xf borderId="14" fillId="0" fontId="3" numFmtId="0" xfId="0" applyBorder="1" applyFont="1"/>
    <xf borderId="11" fillId="4" fontId="8" numFmtId="165" xfId="0" applyAlignment="1" applyBorder="1" applyFill="1" applyFont="1" applyNumberFormat="1">
      <alignment horizontal="center" shrinkToFit="0" vertical="center" wrapText="1"/>
    </xf>
    <xf borderId="11" fillId="5" fontId="7" numFmtId="0" xfId="0" applyAlignment="1" applyBorder="1" applyFill="1" applyFont="1">
      <alignment horizontal="left" shrinkToFit="0" vertical="center" wrapText="1"/>
    </xf>
    <xf borderId="11" fillId="5" fontId="7" numFmtId="0" xfId="0" applyAlignment="1" applyBorder="1" applyFill="1" applyFont="1">
      <alignment horizontal="left" readingOrder="0" shrinkToFit="0" vertical="center" wrapText="1"/>
    </xf>
    <xf borderId="11" fillId="5" fontId="8" numFmtId="165" xfId="0" applyAlignment="1" applyBorder="1" applyFill="1" applyFont="1" applyNumberFormat="1">
      <alignment horizontal="center" shrinkToFit="0" vertical="center" wrapText="1"/>
    </xf>
    <xf borderId="11" fillId="4" fontId="10" numFmtId="164" xfId="0" applyAlignment="1" applyBorder="1" applyFill="1" applyFont="1" applyNumberFormat="1">
      <alignment horizontal="center" vertical="center"/>
    </xf>
    <xf borderId="11" fillId="5" fontId="7" numFmtId="164" xfId="0" applyAlignment="1" applyBorder="1" applyFill="1" applyFont="1" applyNumberFormat="1">
      <alignment horizontal="center" vertical="center"/>
    </xf>
    <xf borderId="10" fillId="0" fontId="11" numFmtId="0" xfId="0" applyAlignment="1" applyBorder="1" applyFont="1">
      <alignment horizontal="left" shrinkToFit="0" vertical="center" wrapText="1"/>
    </xf>
    <xf borderId="11" fillId="4" fontId="7" numFmtId="164" xfId="0" applyAlignment="1" applyBorder="1" applyFill="1" applyFont="1" applyNumberFormat="1">
      <alignment horizontal="center" vertical="center"/>
    </xf>
    <xf borderId="10" fillId="0" fontId="11" numFmtId="164" xfId="0" applyAlignment="1" applyBorder="1" applyFont="1" applyNumberFormat="1">
      <alignment horizontal="center" shrinkToFit="0" vertical="center" wrapText="1"/>
    </xf>
    <xf borderId="11" fillId="6" fontId="7" numFmtId="0" xfId="0" applyAlignment="1" applyBorder="1" applyFill="1" applyFont="1">
      <alignment horizontal="left" shrinkToFit="0" vertical="center" wrapText="1"/>
    </xf>
    <xf borderId="10" fillId="0" fontId="12" numFmtId="0" xfId="0" applyAlignment="1" applyBorder="1" applyFont="1">
      <alignment horizontal="left" shrinkToFit="0" vertical="center" wrapText="1"/>
    </xf>
    <xf borderId="11" fillId="6" fontId="8" numFmtId="165" xfId="0" applyAlignment="1" applyBorder="1" applyFill="1" applyFont="1" applyNumberFormat="1">
      <alignment horizontal="center" shrinkToFit="0" vertical="center" wrapText="1"/>
    </xf>
    <xf borderId="11" fillId="4" fontId="8" numFmtId="164" xfId="0" applyAlignment="1" applyBorder="1" applyFill="1" applyFont="1" applyNumberFormat="1">
      <alignment horizontal="center" readingOrder="0" shrinkToFit="0" vertical="center" wrapText="1"/>
    </xf>
    <xf borderId="11" fillId="6" fontId="7" numFmtId="164" xfId="0" applyAlignment="1" applyBorder="1" applyFill="1" applyFont="1" applyNumberFormat="1">
      <alignment horizontal="center" vertical="center"/>
    </xf>
    <xf borderId="10" fillId="0" fontId="8" numFmtId="166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readingOrder="0"/>
    </xf>
    <xf borderId="11" fillId="7" fontId="11" numFmtId="0" xfId="0" applyAlignment="1" applyBorder="1" applyFill="1" applyFont="1">
      <alignment horizontal="left" shrinkToFit="0" vertical="center" wrapText="1"/>
    </xf>
    <xf borderId="11" fillId="4" fontId="8" numFmtId="164" xfId="0" applyAlignment="1" applyBorder="1" applyFill="1" applyFont="1" applyNumberFormat="1">
      <alignment horizontal="center" shrinkToFit="0" vertical="center" wrapText="1"/>
    </xf>
    <xf borderId="11" fillId="7" fontId="11" numFmtId="165" xfId="0" applyAlignment="1" applyBorder="1" applyFill="1" applyFont="1" applyNumberFormat="1">
      <alignment horizontal="center" shrinkToFit="0" vertical="center" wrapText="1"/>
    </xf>
    <xf borderId="11" fillId="4" fontId="10" numFmtId="167" xfId="0" applyAlignment="1" applyBorder="1" applyFill="1" applyFont="1" applyNumberFormat="1">
      <alignment horizontal="center" vertical="center"/>
    </xf>
    <xf borderId="11" fillId="7" fontId="7" numFmtId="164" xfId="0" applyAlignment="1" applyBorder="1" applyFill="1" applyFont="1" applyNumberFormat="1">
      <alignment horizontal="center" vertical="center"/>
    </xf>
    <xf borderId="11" fillId="5" fontId="8" numFmtId="164" xfId="0" applyAlignment="1" applyBorder="1" applyFill="1" applyFont="1" applyNumberFormat="1">
      <alignment horizontal="center" shrinkToFit="0" vertical="center" wrapText="1"/>
    </xf>
    <xf borderId="11" fillId="4" fontId="7" numFmtId="0" xfId="0" applyAlignment="1" applyBorder="1" applyFill="1" applyFont="1">
      <alignment horizontal="left" readingOrder="0" shrinkToFit="0" vertical="center" wrapText="1"/>
    </xf>
    <xf borderId="11" fillId="4" fontId="8" numFmtId="165" xfId="0" applyAlignment="1" applyBorder="1" applyFill="1" applyFont="1" applyNumberFormat="1">
      <alignment horizontal="center" readingOrder="0" shrinkToFit="0" vertical="center" wrapText="1"/>
    </xf>
    <xf borderId="11" fillId="5" fontId="7" numFmtId="165" xfId="0" applyAlignment="1" applyBorder="1" applyFill="1" applyFont="1" applyNumberFormat="1">
      <alignment horizontal="center" shrinkToFit="0" vertical="center" wrapText="1"/>
    </xf>
    <xf borderId="11" fillId="7" fontId="13" numFmtId="0" xfId="0" applyAlignment="1" applyBorder="1" applyFill="1" applyFont="1">
      <alignment horizontal="left" shrinkToFit="0" vertical="center" wrapText="1"/>
    </xf>
    <xf borderId="11" fillId="7" fontId="13" numFmtId="165" xfId="0" applyAlignment="1" applyBorder="1" applyFill="1" applyFont="1" applyNumberFormat="1">
      <alignment horizontal="center" shrinkToFit="0" vertical="center" wrapText="1"/>
    </xf>
    <xf borderId="10" fillId="0" fontId="8" numFmtId="167" xfId="0" applyAlignment="1" applyBorder="1" applyFont="1" applyNumberFormat="1">
      <alignment horizontal="center" shrinkToFit="0" vertical="center" wrapText="1"/>
    </xf>
    <xf borderId="11" fillId="8" fontId="11" numFmtId="164" xfId="0" applyAlignment="1" applyBorder="1" applyFill="1" applyFont="1" applyNumberFormat="1">
      <alignment horizontal="center" vertical="center"/>
    </xf>
    <xf borderId="2" fillId="9" fontId="4" numFmtId="0" xfId="0" applyAlignment="1" applyBorder="1" applyFill="1" applyFont="1">
      <alignment horizontal="left" shrinkToFit="0" vertical="center" wrapText="1"/>
    </xf>
    <xf borderId="11" fillId="6" fontId="14" numFmtId="0" xfId="0" applyAlignment="1" applyBorder="1" applyFill="1" applyFont="1">
      <alignment horizontal="left" shrinkToFit="0" vertical="center" wrapText="1"/>
    </xf>
    <xf borderId="10" fillId="0" fontId="8" numFmtId="1" xfId="0" applyAlignment="1" applyBorder="1" applyFont="1" applyNumberFormat="1">
      <alignment horizontal="center" shrinkToFit="0" vertical="center" wrapText="1"/>
    </xf>
    <xf borderId="11" fillId="6" fontId="14" numFmtId="165" xfId="0" applyAlignment="1" applyBorder="1" applyFill="1" applyFont="1" applyNumberFormat="1">
      <alignment horizontal="center" shrinkToFit="0" vertical="center" wrapText="1"/>
    </xf>
    <xf borderId="15" fillId="3" fontId="4" numFmtId="0" xfId="0" applyAlignment="1" applyBorder="1" applyFill="1" applyFont="1">
      <alignment horizontal="left" shrinkToFit="0" vertical="center" wrapText="1"/>
    </xf>
    <xf borderId="10" fillId="10" fontId="4" numFmtId="0" xfId="0" applyAlignment="1" applyBorder="1" applyFill="1" applyFont="1">
      <alignment horizontal="left" vertical="center"/>
    </xf>
    <xf borderId="10" fillId="10" fontId="4" numFmtId="0" xfId="0" applyAlignment="1" applyBorder="1" applyFill="1" applyFont="1">
      <alignment horizontal="center" vertical="center"/>
    </xf>
    <xf borderId="16" fillId="10" fontId="4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horizontal="left" vertical="center"/>
    </xf>
    <xf borderId="10" fillId="0" fontId="8" numFmtId="168" xfId="0" applyAlignment="1" applyBorder="1" applyFont="1" applyNumberFormat="1">
      <alignment horizontal="center" vertical="center"/>
    </xf>
    <xf borderId="10" fillId="0" fontId="8" numFmtId="168" xfId="0" applyAlignment="1" applyBorder="1" applyFont="1" applyNumberFormat="1">
      <alignment horizontal="center" readingOrder="0" vertical="center"/>
    </xf>
    <xf borderId="11" fillId="6" fontId="14" numFmtId="0" xfId="0" applyAlignment="1" applyBorder="1" applyFill="1" applyFont="1">
      <alignment horizontal="left" readingOrder="0" shrinkToFit="0" vertical="center" wrapText="1"/>
    </xf>
    <xf borderId="0" fillId="0" fontId="8" numFmtId="168" xfId="0" applyAlignment="1" applyFont="1" applyNumberFormat="1">
      <alignment horizontal="center" vertical="center"/>
    </xf>
    <xf borderId="11" fillId="6" fontId="10" numFmtId="164" xfId="0" applyAlignment="1" applyBorder="1" applyFill="1" applyFont="1" applyNumberFormat="1">
      <alignment horizontal="center" vertical="center"/>
    </xf>
    <xf borderId="10" fillId="0" fontId="8" numFmtId="9" xfId="0" applyAlignment="1" applyBorder="1" applyFont="1" applyNumberFormat="1">
      <alignment horizontal="center" readingOrder="0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10" fillId="0" fontId="8" numFmtId="49" xfId="0" applyAlignment="1" applyBorder="1" applyFont="1" applyNumberFormat="1">
      <alignment horizontal="center" readingOrder="0" shrinkToFit="0" vertical="center" wrapText="1"/>
    </xf>
    <xf borderId="10" fillId="0" fontId="8" numFmtId="164" xfId="0" applyAlignment="1" applyBorder="1" applyFont="1" applyNumberFormat="1">
      <alignment horizontal="center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5" fillId="11" fontId="15" numFmtId="0" xfId="0" applyAlignment="1" applyBorder="1" applyFill="1" applyFont="1">
      <alignment horizontal="left"/>
    </xf>
    <xf borderId="10" fillId="0" fontId="5" numFmtId="0" xfId="0" applyAlignment="1" applyBorder="1" applyFont="1">
      <alignment shrinkToFit="0" vertical="center" wrapText="1"/>
    </xf>
    <xf borderId="10" fillId="0" fontId="8" numFmtId="164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readingOrder="0" shrinkToFit="0" vertical="center" wrapText="1"/>
    </xf>
    <xf borderId="2" fillId="2" fontId="4" numFmtId="0" xfId="0" applyAlignment="1" applyBorder="1" applyFill="1" applyFont="1">
      <alignment horizontal="left" shrinkToFit="0" vertical="center" wrapText="1"/>
    </xf>
    <xf borderId="11" fillId="8" fontId="10" numFmtId="164" xfId="0" applyAlignment="1" applyBorder="1" applyFill="1" applyFont="1" applyNumberFormat="1">
      <alignment horizontal="center" vertical="center"/>
    </xf>
    <xf borderId="11" fillId="5" fontId="10" numFmtId="164" xfId="0" applyAlignment="1" applyBorder="1" applyFill="1" applyFont="1" applyNumberFormat="1">
      <alignment horizontal="center" vertical="center"/>
    </xf>
    <xf borderId="11" fillId="12" fontId="14" numFmtId="0" xfId="0" applyAlignment="1" applyBorder="1" applyFill="1" applyFont="1">
      <alignment horizontal="left" shrinkToFit="0" vertical="center" wrapText="1"/>
    </xf>
    <xf borderId="2" fillId="13" fontId="4" numFmtId="0" xfId="0" applyAlignment="1" applyBorder="1" applyFill="1" applyFont="1">
      <alignment horizontal="left" shrinkToFit="0" vertical="center" wrapText="1"/>
    </xf>
    <xf borderId="11" fillId="14" fontId="16" numFmtId="0" xfId="0" applyAlignment="1" applyBorder="1" applyFill="1" applyFont="1">
      <alignment horizontal="left" shrinkToFit="0" vertical="center" wrapText="1"/>
    </xf>
    <xf borderId="11" fillId="14" fontId="7" numFmtId="164" xfId="0" applyAlignment="1" applyBorder="1" applyFill="1" applyFont="1" applyNumberFormat="1">
      <alignment horizontal="center" vertical="center"/>
    </xf>
    <xf borderId="11" fillId="4" fontId="17" numFmtId="0" xfId="0" applyAlignment="1" applyBorder="1" applyFill="1" applyFont="1">
      <alignment horizontal="left" shrinkToFit="0" vertical="center" wrapText="1"/>
    </xf>
    <xf borderId="11" fillId="6" fontId="18" numFmtId="168" xfId="0" applyAlignment="1" applyBorder="1" applyFill="1" applyFont="1" applyNumberFormat="1">
      <alignment horizontal="center" vertical="center"/>
    </xf>
    <xf borderId="2" fillId="15" fontId="4" numFmtId="0" xfId="0" applyAlignment="1" applyBorder="1" applyFill="1" applyFont="1">
      <alignment horizontal="left" shrinkToFit="0" vertical="center" wrapText="1"/>
    </xf>
    <xf borderId="11" fillId="16" fontId="7" numFmtId="0" xfId="0" applyAlignment="1" applyBorder="1" applyFill="1" applyFont="1">
      <alignment horizontal="left" shrinkToFit="0" vertical="center" wrapText="1"/>
    </xf>
    <xf borderId="11" fillId="14" fontId="16" numFmtId="165" xfId="0" applyAlignment="1" applyBorder="1" applyFill="1" applyFont="1" applyNumberFormat="1">
      <alignment horizontal="center" shrinkToFit="0" vertical="center" wrapText="1"/>
    </xf>
    <xf borderId="11" fillId="16" fontId="10" numFmtId="164" xfId="0" applyAlignment="1" applyBorder="1" applyFill="1" applyFont="1" applyNumberFormat="1">
      <alignment horizontal="center" vertical="center"/>
    </xf>
    <xf borderId="11" fillId="16" fontId="8" numFmtId="165" xfId="0" applyAlignment="1" applyBorder="1" applyFill="1" applyFont="1" applyNumberFormat="1">
      <alignment horizontal="center" shrinkToFit="0" vertical="center" wrapText="1"/>
    </xf>
    <xf borderId="11" fillId="17" fontId="11" numFmtId="164" xfId="0" applyAlignment="1" applyBorder="1" applyFill="1" applyFont="1" applyNumberFormat="1">
      <alignment horizontal="center" vertical="center"/>
    </xf>
    <xf borderId="11" fillId="4" fontId="7" numFmtId="165" xfId="0" applyAlignment="1" applyBorder="1" applyFill="1" applyFont="1" applyNumberFormat="1">
      <alignment horizontal="center" shrinkToFit="0" vertical="center" wrapText="1"/>
    </xf>
    <xf borderId="11" fillId="16" fontId="7" numFmtId="0" xfId="0" applyAlignment="1" applyBorder="1" applyFill="1" applyFont="1">
      <alignment horizontal="left" readingOrder="0" shrinkToFit="0" vertical="center" wrapText="1"/>
    </xf>
    <xf borderId="11" fillId="16" fontId="7" numFmtId="165" xfId="0" applyAlignment="1" applyBorder="1" applyFill="1" applyFont="1" applyNumberFormat="1">
      <alignment horizontal="center" shrinkToFit="0" vertical="center" wrapText="1"/>
    </xf>
    <xf borderId="11" fillId="16" fontId="7" numFmtId="164" xfId="0" applyAlignment="1" applyBorder="1" applyFill="1" applyFont="1" applyNumberFormat="1">
      <alignment horizontal="center" vertical="center"/>
    </xf>
    <xf borderId="11" fillId="18" fontId="19" numFmtId="0" xfId="0" applyAlignment="1" applyBorder="1" applyFill="1" applyFont="1">
      <alignment horizontal="left" shrinkToFit="0" vertical="center" wrapText="1"/>
    </xf>
    <xf borderId="11" fillId="18" fontId="19" numFmtId="165" xfId="0" applyAlignment="1" applyBorder="1" applyFill="1" applyFont="1" applyNumberFormat="1">
      <alignment horizontal="center" shrinkToFit="0" vertical="center" wrapText="1"/>
    </xf>
    <xf borderId="11" fillId="5" fontId="20" numFmtId="164" xfId="0" applyAlignment="1" applyBorder="1" applyFill="1" applyFont="1" applyNumberFormat="1">
      <alignment horizontal="right" vertical="center"/>
    </xf>
    <xf borderId="11" fillId="18" fontId="11" numFmtId="0" xfId="0" applyAlignment="1" applyBorder="1" applyFill="1" applyFont="1">
      <alignment horizontal="left" shrinkToFit="0" vertical="center" wrapText="1"/>
    </xf>
    <xf borderId="11" fillId="18" fontId="11" numFmtId="165" xfId="0" applyAlignment="1" applyBorder="1" applyFill="1" applyFont="1" applyNumberFormat="1">
      <alignment horizontal="center" shrinkToFit="0" vertical="center" wrapText="1"/>
    </xf>
    <xf borderId="11" fillId="18" fontId="7" numFmtId="164" xfId="0" applyAlignment="1" applyBorder="1" applyFill="1" applyFont="1" applyNumberFormat="1">
      <alignment horizontal="center" vertical="center"/>
    </xf>
    <xf borderId="11" fillId="4" fontId="7" numFmtId="167" xfId="0" applyAlignment="1" applyBorder="1" applyFill="1" applyFont="1" applyNumberFormat="1">
      <alignment horizontal="center" vertical="center"/>
    </xf>
    <xf borderId="11" fillId="8" fontId="21" numFmtId="164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center"/>
    </xf>
    <xf borderId="11" fillId="3" fontId="4" numFmtId="0" xfId="0" applyAlignment="1" applyBorder="1" applyFill="1" applyFont="1">
      <alignment horizontal="left" shrinkToFit="0" vertical="center" wrapText="1"/>
    </xf>
    <xf borderId="11" fillId="10" fontId="21" numFmtId="164" xfId="0" applyAlignment="1" applyBorder="1" applyFill="1" applyFont="1" applyNumberFormat="1">
      <alignment horizontal="right" vertical="center"/>
    </xf>
    <xf borderId="2" fillId="19" fontId="4" numFmtId="0" xfId="0" applyAlignment="1" applyBorder="1" applyFill="1" applyFont="1">
      <alignment horizontal="left" shrinkToFit="0" vertical="center" wrapText="1"/>
    </xf>
    <xf borderId="11" fillId="10" fontId="4" numFmtId="164" xfId="0" applyAlignment="1" applyBorder="1" applyFill="1" applyFont="1" applyNumberFormat="1">
      <alignment horizontal="center" vertical="center"/>
    </xf>
    <xf borderId="2" fillId="3" fontId="4" numFmtId="0" xfId="0" applyAlignment="1" applyBorder="1" applyFill="1" applyFont="1">
      <alignment horizontal="left" shrinkToFit="0" vertical="center" wrapText="1"/>
    </xf>
    <xf borderId="11" fillId="4" fontId="7" numFmtId="169" xfId="0" applyAlignment="1" applyBorder="1" applyFill="1" applyFont="1" applyNumberFormat="1">
      <alignment horizontal="center" vertical="center"/>
    </xf>
    <xf borderId="11" fillId="20" fontId="7" numFmtId="0" xfId="0" applyAlignment="1" applyBorder="1" applyFill="1" applyFont="1">
      <alignment horizontal="left" shrinkToFit="0" vertical="center" wrapText="1"/>
    </xf>
    <xf borderId="11" fillId="20" fontId="7" numFmtId="164" xfId="0" applyAlignment="1" applyBorder="1" applyFill="1" applyFont="1" applyNumberFormat="1">
      <alignment horizontal="center" vertical="center"/>
    </xf>
    <xf borderId="1" fillId="21" fontId="4" numFmtId="0" xfId="0" applyAlignment="1" applyBorder="1" applyFill="1" applyFont="1">
      <alignment horizontal="left" shrinkToFit="0" vertical="center" wrapText="1"/>
    </xf>
    <xf borderId="11" fillId="22" fontId="15" numFmtId="0" xfId="0" applyAlignment="1" applyBorder="1" applyFill="1" applyFont="1">
      <alignment horizontal="left" shrinkToFit="0" vertical="center" wrapText="1"/>
    </xf>
    <xf borderId="11" fillId="23" fontId="11" numFmtId="164" xfId="0" applyAlignment="1" applyBorder="1" applyFill="1" applyFont="1" applyNumberFormat="1">
      <alignment horizontal="center" shrinkToFit="0" vertical="center" wrapText="1"/>
    </xf>
    <xf borderId="17" fillId="24" fontId="22" numFmtId="0" xfId="0" applyAlignment="1" applyBorder="1" applyFill="1" applyFont="1">
      <alignment horizontal="left" shrinkToFit="0" vertical="center" wrapText="1"/>
    </xf>
    <xf borderId="11" fillId="23" fontId="11" numFmtId="167" xfId="0" applyAlignment="1" applyBorder="1" applyFill="1" applyFont="1" applyNumberFormat="1">
      <alignment horizontal="center" vertical="center"/>
    </xf>
    <xf borderId="17" fillId="24" fontId="23" numFmtId="0" xfId="0" applyAlignment="1" applyBorder="1" applyFill="1" applyFont="1">
      <alignment horizontal="left" shrinkToFit="0" vertical="center" wrapText="1"/>
    </xf>
    <xf borderId="11" fillId="23" fontId="24" numFmtId="2" xfId="0" applyAlignment="1" applyBorder="1" applyFill="1" applyFont="1" applyNumberFormat="1">
      <alignment horizontal="center" shrinkToFit="0" vertical="center" wrapText="1"/>
    </xf>
    <xf borderId="17" fillId="24" fontId="23" numFmtId="0" xfId="0" applyAlignment="1" applyBorder="1" applyFill="1" applyFont="1">
      <alignment horizontal="left" readingOrder="0" shrinkToFit="0" vertical="center" wrapText="1"/>
    </xf>
    <xf borderId="11" fillId="23" fontId="24" numFmtId="0" xfId="0" applyAlignment="1" applyBorder="1" applyFill="1" applyFont="1">
      <alignment horizontal="center" shrinkToFit="0" vertical="center" wrapText="1"/>
    </xf>
    <xf borderId="11" fillId="23" fontId="10" numFmtId="167" xfId="0" applyAlignment="1" applyBorder="1" applyFill="1" applyFont="1" applyNumberFormat="1">
      <alignment horizontal="center" shrinkToFit="0" vertical="center" wrapText="1"/>
    </xf>
    <xf borderId="17" fillId="24" fontId="8" numFmtId="0" xfId="0" applyAlignment="1" applyBorder="1" applyFill="1" applyFont="1">
      <alignment horizontal="left" readingOrder="0" shrinkToFit="0" vertical="center" wrapText="1"/>
    </xf>
    <xf borderId="5" fillId="25" fontId="2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5" fillId="26" fontId="25" numFmtId="0" xfId="0" applyAlignment="1" applyBorder="1" applyFill="1" applyFont="1">
      <alignment horizontal="center" readingOrder="0" shrinkToFit="0" vertical="center" wrapText="1"/>
    </xf>
    <xf borderId="10" fillId="25" fontId="4" numFmtId="0" xfId="0" applyAlignment="1" applyBorder="1" applyFill="1" applyFont="1">
      <alignment horizontal="center" shrinkToFit="0" vertical="center" wrapText="1"/>
    </xf>
    <xf borderId="5" fillId="26" fontId="4" numFmtId="0" xfId="0" applyAlignment="1" applyBorder="1" applyFill="1" applyFont="1">
      <alignment horizontal="left" shrinkToFit="0" vertical="center" wrapText="1"/>
    </xf>
    <xf borderId="10" fillId="27" fontId="11" numFmtId="0" xfId="0" applyAlignment="1" applyBorder="1" applyFill="1" applyFont="1">
      <alignment horizontal="left" shrinkToFit="0" vertical="center" wrapText="1"/>
    </xf>
    <xf borderId="10" fillId="28" fontId="26" numFmtId="170" xfId="0" applyAlignment="1" applyBorder="1" applyFill="1" applyFont="1" applyNumberFormat="1">
      <alignment horizontal="center" shrinkToFit="0" vertical="center" wrapText="1"/>
    </xf>
    <xf borderId="10" fillId="28" fontId="7" numFmtId="0" xfId="0" applyAlignment="1" applyBorder="1" applyFill="1" applyFont="1">
      <alignment horizontal="center" shrinkToFit="0" vertical="center" wrapText="1"/>
    </xf>
    <xf borderId="10" fillId="29" fontId="7" numFmtId="0" xfId="0" applyAlignment="1" applyBorder="1" applyFill="1" applyFont="1">
      <alignment horizontal="left" readingOrder="0" shrinkToFit="0" vertical="center" wrapText="1"/>
    </xf>
    <xf borderId="10" fillId="28" fontId="26" numFmtId="10" xfId="0" applyAlignment="1" applyBorder="1" applyFill="1" applyFont="1" applyNumberFormat="1">
      <alignment horizontal="center" shrinkToFit="0" vertical="center" wrapText="1"/>
    </xf>
    <xf borderId="0" fillId="23" fontId="5" numFmtId="0" xfId="0" applyFill="1" applyFont="1"/>
    <xf borderId="10" fillId="29" fontId="7" numFmtId="0" xfId="0" applyAlignment="1" applyBorder="1" applyFill="1" applyFont="1">
      <alignment horizontal="left" shrinkToFit="0" vertical="center" wrapText="1"/>
    </xf>
    <xf borderId="10" fillId="28" fontId="26" numFmtId="2" xfId="0" applyAlignment="1" applyBorder="1" applyFill="1" applyFont="1" applyNumberFormat="1">
      <alignment horizontal="center" shrinkToFit="0" vertical="center" wrapText="1"/>
    </xf>
    <xf borderId="10" fillId="28" fontId="26" numFmtId="0" xfId="0" applyAlignment="1" applyBorder="1" applyFill="1" applyFont="1">
      <alignment horizontal="center" shrinkToFit="0" vertical="center" wrapText="1"/>
    </xf>
    <xf borderId="10" fillId="30" fontId="7" numFmtId="0" xfId="0" applyAlignment="1" applyBorder="1" applyFill="1" applyFont="1">
      <alignment horizontal="center" shrinkToFit="0" vertical="center" wrapText="1"/>
    </xf>
    <xf borderId="16" fillId="29" fontId="7" numFmtId="0" xfId="0" applyAlignment="1" applyBorder="1" applyFill="1" applyFont="1">
      <alignment horizontal="left" shrinkToFit="0" vertical="center" wrapText="1"/>
    </xf>
    <xf borderId="5" fillId="31" fontId="2" numFmtId="0" xfId="0" applyAlignment="1" applyBorder="1" applyFill="1" applyFont="1">
      <alignment horizontal="left" shrinkToFit="0" vertical="center" wrapText="1"/>
    </xf>
    <xf borderId="10" fillId="31" fontId="4" numFmtId="0" xfId="0" applyAlignment="1" applyBorder="1" applyFill="1" applyFont="1">
      <alignment horizontal="center" shrinkToFit="0" vertical="center" wrapText="1"/>
    </xf>
    <xf borderId="10" fillId="0" fontId="5" numFmtId="170" xfId="0" applyAlignment="1" applyBorder="1" applyFont="1" applyNumberFormat="1">
      <alignment horizontal="center" shrinkToFit="0" vertical="center" wrapText="1"/>
    </xf>
    <xf borderId="10" fillId="0" fontId="5" numFmtId="171" xfId="0" applyAlignment="1" applyBorder="1" applyFont="1" applyNumberFormat="1">
      <alignment horizontal="center" shrinkToFit="0" vertical="center" wrapText="1"/>
    </xf>
    <xf borderId="10" fillId="29" fontId="7" numFmtId="171" xfId="0" applyAlignment="1" applyBorder="1" applyFill="1" applyFont="1" applyNumberFormat="1">
      <alignment horizontal="center" shrinkToFit="0" vertical="center" wrapText="1"/>
    </xf>
    <xf borderId="10" fillId="28" fontId="11" numFmtId="0" xfId="0" applyAlignment="1" applyBorder="1" applyFill="1" applyFont="1">
      <alignment horizontal="left" shrinkToFit="0" vertical="center" wrapText="1"/>
    </xf>
    <xf borderId="10" fillId="28" fontId="15" numFmtId="170" xfId="0" applyAlignment="1" applyBorder="1" applyFill="1" applyFont="1" applyNumberFormat="1">
      <alignment horizontal="center" shrinkToFit="0" vertical="center" wrapText="1"/>
    </xf>
    <xf borderId="10" fillId="28" fontId="15" numFmtId="171" xfId="0" applyAlignment="1" applyBorder="1" applyFill="1" applyFont="1" applyNumberFormat="1">
      <alignment horizontal="center" shrinkToFit="0" vertical="center" wrapText="1"/>
    </xf>
    <xf borderId="10" fillId="28" fontId="11" numFmtId="0" xfId="0" applyAlignment="1" applyBorder="1" applyFill="1" applyFont="1">
      <alignment horizontal="left" readingOrder="0" shrinkToFit="0" vertical="center" wrapText="1"/>
    </xf>
    <xf borderId="5" fillId="32" fontId="2" numFmtId="0" xfId="0" applyAlignment="1" applyBorder="1" applyFill="1" applyFont="1">
      <alignment horizontal="left" shrinkToFit="0" vertical="center" wrapText="1"/>
    </xf>
    <xf borderId="10" fillId="32" fontId="4" numFmtId="0" xfId="0" applyAlignment="1" applyBorder="1" applyFill="1" applyFont="1">
      <alignment horizontal="center" shrinkToFit="0" vertical="center" wrapText="1"/>
    </xf>
    <xf borderId="10" fillId="29" fontId="7" numFmtId="10" xfId="0" applyAlignment="1" applyBorder="1" applyFill="1" applyFont="1" applyNumberFormat="1">
      <alignment horizontal="center" shrinkToFit="0" vertical="center" wrapText="1"/>
    </xf>
    <xf borderId="1" fillId="10" fontId="4" numFmtId="0" xfId="0" applyAlignment="1" applyBorder="1" applyFill="1" applyFont="1">
      <alignment horizontal="center" vertical="center"/>
    </xf>
    <xf borderId="10" fillId="28" fontId="11" numFmtId="10" xfId="0" applyAlignment="1" applyBorder="1" applyFill="1" applyFont="1" applyNumberFormat="1">
      <alignment horizontal="center" readingOrder="0" shrinkToFit="0" vertical="center" wrapText="1"/>
    </xf>
    <xf borderId="0" fillId="0" fontId="5" numFmtId="0" xfId="0" applyFont="1"/>
    <xf borderId="10" fillId="28" fontId="7" numFmtId="0" xfId="0" applyAlignment="1" applyBorder="1" applyFill="1" applyFont="1">
      <alignment horizontal="left" readingOrder="0" shrinkToFit="0" vertical="center" wrapText="1"/>
    </xf>
    <xf borderId="1" fillId="33" fontId="27" numFmtId="0" xfId="0" applyAlignment="1" applyBorder="1" applyFill="1" applyFont="1">
      <alignment horizontal="center" vertical="center"/>
    </xf>
    <xf borderId="10" fillId="28" fontId="26" numFmtId="171" xfId="0" applyAlignment="1" applyBorder="1" applyFill="1" applyFont="1" applyNumberFormat="1">
      <alignment horizontal="center" shrinkToFit="0" vertical="center" wrapText="1"/>
    </xf>
    <xf borderId="10" fillId="28" fontId="7" numFmtId="0" xfId="0" applyAlignment="1" applyBorder="1" applyFill="1" applyFont="1">
      <alignment horizontal="left" shrinkToFit="0" vertical="center" wrapText="1"/>
    </xf>
    <xf borderId="1" fillId="26" fontId="4" numFmtId="0" xfId="0" applyAlignment="1" applyBorder="1" applyFill="1" applyFont="1">
      <alignment horizontal="left" shrinkToFit="0" vertical="center" wrapText="1"/>
    </xf>
    <xf borderId="19" fillId="34" fontId="4" numFmtId="0" xfId="0" applyAlignment="1" applyBorder="1" applyFill="1" applyFont="1">
      <alignment horizontal="center" vertical="center"/>
    </xf>
    <xf borderId="19" fillId="29" fontId="8" numFmtId="0" xfId="0" applyAlignment="1" applyBorder="1" applyFill="1" applyFont="1">
      <alignment horizontal="left" shrinkToFit="0" vertical="center" wrapText="1"/>
    </xf>
    <xf borderId="19" fillId="29" fontId="8" numFmtId="0" xfId="0" applyAlignment="1" applyBorder="1" applyFill="1" applyFont="1">
      <alignment horizontal="center" vertical="center"/>
    </xf>
    <xf borderId="19" fillId="29" fontId="28" numFmtId="0" xfId="0" applyAlignment="1" applyBorder="1" applyFill="1" applyFont="1">
      <alignment horizontal="center" vertical="center"/>
    </xf>
    <xf borderId="19" fillId="29" fontId="8" numFmtId="172" xfId="0" applyAlignment="1" applyBorder="1" applyFill="1" applyFont="1" applyNumberFormat="1">
      <alignment horizontal="center" vertical="center"/>
    </xf>
    <xf borderId="19" fillId="35" fontId="8" numFmtId="0" xfId="0" applyAlignment="1" applyBorder="1" applyFill="1" applyFont="1">
      <alignment horizontal="left" shrinkToFit="0" vertical="center" wrapText="1"/>
    </xf>
    <xf borderId="19" fillId="35" fontId="8" numFmtId="0" xfId="0" applyAlignment="1" applyBorder="1" applyFill="1" applyFont="1">
      <alignment horizontal="center" vertical="center"/>
    </xf>
    <xf borderId="19" fillId="35" fontId="28" numFmtId="0" xfId="0" applyAlignment="1" applyBorder="1" applyFill="1" applyFont="1">
      <alignment horizontal="center" vertical="center"/>
    </xf>
    <xf borderId="19" fillId="35" fontId="8" numFmtId="172" xfId="0" applyAlignment="1" applyBorder="1" applyFill="1" applyFont="1" applyNumberFormat="1">
      <alignment horizontal="center" vertical="center"/>
    </xf>
    <xf borderId="1" fillId="36" fontId="29" numFmtId="0" xfId="0" applyAlignment="1" applyBorder="1" applyFill="1" applyFont="1">
      <alignment horizontal="left" shrinkToFit="0" vertical="center" wrapText="1"/>
    </xf>
    <xf borderId="19" fillId="35" fontId="7" numFmtId="0" xfId="0" applyAlignment="1" applyBorder="1" applyFill="1" applyFont="1">
      <alignment horizontal="left" shrinkToFit="0" vertical="center" wrapText="1"/>
    </xf>
    <xf borderId="19" fillId="35" fontId="7" numFmtId="0" xfId="0" applyAlignment="1" applyBorder="1" applyFill="1" applyFont="1">
      <alignment horizontal="center" vertical="center"/>
    </xf>
    <xf borderId="19" fillId="35" fontId="8" numFmtId="173" xfId="0" applyAlignment="1" applyBorder="1" applyFill="1" applyFont="1" applyNumberFormat="1">
      <alignment horizontal="center" vertical="center"/>
    </xf>
    <xf borderId="19" fillId="35" fontId="7" numFmtId="173" xfId="0" applyAlignment="1" applyBorder="1" applyFill="1" applyFont="1" applyNumberFormat="1">
      <alignment horizontal="center" vertical="center"/>
    </xf>
    <xf borderId="19" fillId="29" fontId="7" numFmtId="0" xfId="0" applyAlignment="1" applyBorder="1" applyFill="1" applyFont="1">
      <alignment horizontal="left" shrinkToFit="0" vertical="center" wrapText="1"/>
    </xf>
    <xf borderId="19" fillId="29" fontId="7" numFmtId="0" xfId="0" applyAlignment="1" applyBorder="1" applyFill="1" applyFont="1">
      <alignment horizontal="center" vertical="center"/>
    </xf>
    <xf borderId="19" fillId="29" fontId="8" numFmtId="173" xfId="0" applyAlignment="1" applyBorder="1" applyFill="1" applyFont="1" applyNumberFormat="1">
      <alignment horizontal="center" vertical="center"/>
    </xf>
    <xf borderId="19" fillId="29" fontId="7" numFmtId="173" xfId="0" applyAlignment="1" applyBorder="1" applyFill="1" applyFont="1" applyNumberFormat="1">
      <alignment horizontal="center" vertical="center"/>
    </xf>
    <xf borderId="19" fillId="35" fontId="28" numFmtId="168" xfId="0" applyAlignment="1" applyBorder="1" applyFill="1" applyFont="1" applyNumberFormat="1">
      <alignment horizontal="center" vertical="center"/>
    </xf>
    <xf borderId="19" fillId="35" fontId="18" numFmtId="168" xfId="0" applyAlignment="1" applyBorder="1" applyFill="1" applyFont="1" applyNumberFormat="1">
      <alignment horizontal="center" vertical="center"/>
    </xf>
    <xf borderId="19" fillId="29" fontId="7" numFmtId="168" xfId="0" applyAlignment="1" applyBorder="1" applyFill="1" applyFont="1" applyNumberFormat="1">
      <alignment horizontal="center" vertical="center"/>
    </xf>
    <xf borderId="19" fillId="35" fontId="7" numFmtId="167" xfId="0" applyAlignment="1" applyBorder="1" applyFill="1" applyFont="1" applyNumberFormat="1">
      <alignment horizontal="center" vertical="center"/>
    </xf>
    <xf borderId="19" fillId="29" fontId="28" numFmtId="168" xfId="0" applyAlignment="1" applyBorder="1" applyFill="1" applyFont="1" applyNumberFormat="1">
      <alignment horizontal="center" vertical="center"/>
    </xf>
    <xf borderId="19" fillId="35" fontId="7" numFmtId="168" xfId="0" applyAlignment="1" applyBorder="1" applyFill="1" applyFont="1" applyNumberFormat="1">
      <alignment horizontal="center" vertical="center"/>
    </xf>
    <xf borderId="19" fillId="17" fontId="15" numFmtId="0" xfId="0" applyAlignment="1" applyBorder="1" applyFill="1" applyFont="1">
      <alignment horizontal="left" shrinkToFit="0" vertical="center" wrapText="1"/>
    </xf>
    <xf borderId="19" fillId="17" fontId="15" numFmtId="0" xfId="0" applyAlignment="1" applyBorder="1" applyFill="1" applyFont="1">
      <alignment horizontal="center" vertical="center"/>
    </xf>
    <xf borderId="19" fillId="17" fontId="7" numFmtId="168" xfId="0" applyAlignment="1" applyBorder="1" applyFill="1" applyFont="1" applyNumberFormat="1">
      <alignment horizontal="center" vertical="center"/>
    </xf>
    <xf borderId="19" fillId="34" fontId="4" numFmtId="0" xfId="0" applyAlignment="1" applyBorder="1" applyFill="1" applyFont="1">
      <alignment horizontal="center" shrinkToFit="0" vertical="center" wrapText="1"/>
    </xf>
    <xf borderId="19" fillId="34" fontId="5" numFmtId="0" xfId="0" applyBorder="1" applyFill="1" applyFont="1"/>
    <xf borderId="19" fillId="35" fontId="8" numFmtId="1" xfId="0" applyAlignment="1" applyBorder="1" applyFill="1" applyFont="1" applyNumberFormat="1">
      <alignment horizontal="center" vertical="center"/>
    </xf>
    <xf borderId="19" fillId="35" fontId="8" numFmtId="168" xfId="0" applyAlignment="1" applyBorder="1" applyFill="1" applyFont="1" applyNumberFormat="1">
      <alignment horizontal="center" vertical="center"/>
    </xf>
    <xf borderId="19" fillId="35" fontId="5" numFmtId="0" xfId="0" applyBorder="1" applyFill="1" applyFont="1"/>
    <xf borderId="19" fillId="29" fontId="18" numFmtId="168" xfId="0" applyAlignment="1" applyBorder="1" applyFill="1" applyFont="1" applyNumberFormat="1">
      <alignment horizontal="center" vertical="center"/>
    </xf>
    <xf borderId="19" fillId="29" fontId="8" numFmtId="1" xfId="0" applyAlignment="1" applyBorder="1" applyFill="1" applyFont="1" applyNumberFormat="1">
      <alignment horizontal="center" vertical="center"/>
    </xf>
    <xf borderId="19" fillId="29" fontId="8" numFmtId="168" xfId="0" applyAlignment="1" applyBorder="1" applyFill="1" applyFont="1" applyNumberFormat="1">
      <alignment horizontal="center" vertical="center"/>
    </xf>
    <xf borderId="19" fillId="29" fontId="5" numFmtId="0" xfId="0" applyBorder="1" applyFill="1" applyFont="1"/>
    <xf borderId="19" fillId="17" fontId="15" numFmtId="168" xfId="0" applyAlignment="1" applyBorder="1" applyFill="1" applyFont="1" applyNumberFormat="1">
      <alignment horizontal="center" vertical="center"/>
    </xf>
    <xf borderId="19" fillId="17" fontId="5" numFmtId="0" xfId="0" applyBorder="1" applyFill="1" applyFont="1"/>
    <xf borderId="1" fillId="27" fontId="30" numFmtId="0" xfId="0" applyAlignment="1" applyBorder="1" applyFill="1" applyFont="1">
      <alignment horizontal="left" shrinkToFit="0" vertical="center" wrapText="1"/>
    </xf>
    <xf borderId="16" fillId="27" fontId="30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ghi Đường" id="{5eb2073b-543a-49ff-95b7-2db34a2c5fd4}" providerId="google-sheets"/>
  <x18tc:person displayName="TUẤN PHAN KHẮC ANH" id="{3742fca3-6644-4ec9-8414-2a7a774aa30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04T08:11:59.00" personId="{3742fca3-6644-4ec9-8414-2a7a774aa307}" id="{dd74cbb5-42dc-4cac-b0de-bbb5412f5cbf}" done="0">
    <x18tc:text xml:space="preserve">Oke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6-09-04T06:48:43.00" personId="{5eb2073b-543a-49ff-95b7-2db34a2c5fd4}" id="{34c63664-a764-473b-b9ba-6f28a0240702}" done="0">
    <x18tc:text xml:space="preserve">Nì giả sử 11% đhong hấy note 10% nè</x18tc:text>
  </x18tc:threadedComment>
  <x18tc:threadedComment ref="A5" dT="2026-09-04T07:49:55.00" personId="{3742fca3-6644-4ec9-8414-2a7a774aa307}" id="{4cf7fb9c-460a-434e-bd94-2440c43a399b}" parentId="{34c63664-a764-473b-b9ba-6f28a0240702}">
    <x18tc:text xml:space="preserve">Đr á nó như dự phóng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6.43"/>
    <col customWidth="1" min="3" max="3" width="16.14"/>
    <col customWidth="1" min="4" max="4" width="19.29"/>
    <col customWidth="1" min="5" max="5" width="17.29"/>
    <col customWidth="1" min="6" max="6" width="18.0"/>
    <col customWidth="1" min="7" max="7" width="17.14"/>
    <col customWidth="1" min="8" max="8" width="16.14"/>
    <col customWidth="1" min="9" max="9" width="20.14"/>
    <col customWidth="1" min="10" max="26" width="11.0"/>
  </cols>
  <sheetData>
    <row r="1" ht="31.5" customHeight="1">
      <c r="A1" s="5" t="s">
        <v>1</v>
      </c>
      <c r="B1" s="7"/>
      <c r="C1" s="7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9.5" customHeight="1">
      <c r="A2" s="11" t="s">
        <v>4</v>
      </c>
      <c r="B2" s="11" t="s">
        <v>7</v>
      </c>
      <c r="C2" s="11" t="s">
        <v>8</v>
      </c>
      <c r="D2" s="11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75" customHeight="1">
      <c r="A3" s="14" t="s">
        <v>14</v>
      </c>
      <c r="B3" s="7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0.75" customHeight="1">
      <c r="A4" s="15" t="s">
        <v>20</v>
      </c>
      <c r="B4" s="16">
        <v>10.0</v>
      </c>
      <c r="C4" s="15" t="s">
        <v>21</v>
      </c>
      <c r="D4" s="20" t="s">
        <v>23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8.0" customHeight="1">
      <c r="A5" s="15" t="s">
        <v>27</v>
      </c>
      <c r="B5" s="16">
        <v>1800.0</v>
      </c>
      <c r="C5" s="15" t="s">
        <v>21</v>
      </c>
      <c r="D5" s="20" t="s">
        <v>28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1.5" customHeight="1">
      <c r="A6" s="15" t="s">
        <v>31</v>
      </c>
      <c r="B6" s="16">
        <v>180.0</v>
      </c>
      <c r="C6" s="15" t="s">
        <v>21</v>
      </c>
      <c r="D6" s="20" t="s">
        <v>32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8.0" customHeight="1">
      <c r="A7" s="15" t="s">
        <v>33</v>
      </c>
      <c r="B7" s="16">
        <v>600.0</v>
      </c>
      <c r="C7" s="15" t="s">
        <v>21</v>
      </c>
      <c r="D7" s="20" t="s">
        <v>34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75" customHeight="1">
      <c r="A8" s="29" t="s">
        <v>35</v>
      </c>
      <c r="B8" s="31">
        <f>B4+B5+B6+B7</f>
        <v>2590</v>
      </c>
      <c r="C8" s="29" t="s">
        <v>21</v>
      </c>
      <c r="D8" s="33" t="s">
        <v>37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1.75" customHeight="1">
      <c r="A9" s="14" t="s">
        <v>39</v>
      </c>
      <c r="B9" s="7"/>
      <c r="C9" s="7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61.5" customHeight="1">
      <c r="A10" s="15" t="s">
        <v>41</v>
      </c>
      <c r="B10" s="37">
        <v>0.4</v>
      </c>
      <c r="C10" s="15" t="s">
        <v>42</v>
      </c>
      <c r="D10" s="33" t="s">
        <v>43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0" customHeight="1">
      <c r="A11" s="15" t="s">
        <v>44</v>
      </c>
      <c r="B11" s="37">
        <v>0.6</v>
      </c>
      <c r="C11" s="15" t="s">
        <v>42</v>
      </c>
      <c r="D11" s="33" t="s">
        <v>45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0.75" customHeight="1">
      <c r="A12" s="15" t="s">
        <v>46</v>
      </c>
      <c r="B12" s="16">
        <f>B8*B10</f>
        <v>1036</v>
      </c>
      <c r="C12" s="15" t="s">
        <v>21</v>
      </c>
      <c r="D12" s="20" t="s">
        <v>48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0.75" customHeight="1">
      <c r="A13" s="15" t="s">
        <v>49</v>
      </c>
      <c r="B13" s="16">
        <f>B8*B11</f>
        <v>1554</v>
      </c>
      <c r="C13" s="15" t="s">
        <v>21</v>
      </c>
      <c r="D13" s="20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61.5" customHeight="1">
      <c r="A14" s="15" t="s">
        <v>63</v>
      </c>
      <c r="B14" s="50">
        <v>0.11</v>
      </c>
      <c r="C14" s="15" t="s">
        <v>64</v>
      </c>
      <c r="D14" s="20" t="s">
        <v>65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93.0" customHeight="1">
      <c r="A15" s="15" t="s">
        <v>66</v>
      </c>
      <c r="B15" s="50">
        <v>0.18</v>
      </c>
      <c r="C15" s="15" t="s">
        <v>64</v>
      </c>
      <c r="D15" s="20" t="s">
        <v>67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75" customHeight="1">
      <c r="A16" s="15" t="s">
        <v>69</v>
      </c>
      <c r="B16" s="37">
        <v>0.2</v>
      </c>
      <c r="C16" s="15" t="s">
        <v>42</v>
      </c>
      <c r="D16" s="33" t="s">
        <v>70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71</v>
      </c>
      <c r="B17" s="50">
        <f>B15*B11+B14*(1-B16)*B10</f>
        <v>0.1432</v>
      </c>
      <c r="C17" s="15" t="s">
        <v>64</v>
      </c>
      <c r="D17" s="33" t="s">
        <v>73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0" customHeight="1">
      <c r="A18" s="15" t="s">
        <v>74</v>
      </c>
      <c r="B18" s="54">
        <v>5.0</v>
      </c>
      <c r="C18" s="15" t="s">
        <v>64</v>
      </c>
      <c r="D18" s="33" t="s">
        <v>75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1.75" customHeight="1">
      <c r="A19" s="56" t="s">
        <v>76</v>
      </c>
      <c r="B19" s="3"/>
      <c r="C19" s="3"/>
      <c r="D19" s="3"/>
      <c r="E19" s="3"/>
      <c r="F19" s="3"/>
      <c r="G19" s="3"/>
      <c r="H19" s="3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0" customHeight="1">
      <c r="A20" s="57" t="s">
        <v>4</v>
      </c>
      <c r="B20" s="58" t="s">
        <v>78</v>
      </c>
      <c r="C20" s="58" t="s">
        <v>80</v>
      </c>
      <c r="D20" s="58" t="s">
        <v>81</v>
      </c>
      <c r="E20" s="58" t="s">
        <v>82</v>
      </c>
      <c r="F20" s="58" t="s">
        <v>83</v>
      </c>
      <c r="G20" s="58" t="s">
        <v>84</v>
      </c>
      <c r="H20" s="59" t="s">
        <v>85</v>
      </c>
      <c r="I20" s="59" t="s">
        <v>86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0" customHeight="1">
      <c r="A21" s="60" t="s">
        <v>30</v>
      </c>
      <c r="B21" s="61">
        <v>1.0</v>
      </c>
      <c r="C21" s="61">
        <v>1.0</v>
      </c>
      <c r="D21" s="61">
        <v>1.0</v>
      </c>
      <c r="E21" s="61">
        <v>2.0</v>
      </c>
      <c r="F21" s="61">
        <v>2.0</v>
      </c>
      <c r="G21" s="62">
        <v>2.0</v>
      </c>
      <c r="H21" s="62">
        <v>2.0</v>
      </c>
      <c r="I21" s="62">
        <v>14.0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0" customHeight="1">
      <c r="A22" s="60" t="s">
        <v>88</v>
      </c>
      <c r="B22" s="61">
        <v>2.0</v>
      </c>
      <c r="C22" s="61">
        <v>2.0</v>
      </c>
      <c r="D22" s="61">
        <v>3.0</v>
      </c>
      <c r="E22" s="61">
        <v>4.0</v>
      </c>
      <c r="F22" s="62">
        <v>4.0</v>
      </c>
      <c r="G22" s="62">
        <v>4.0</v>
      </c>
      <c r="H22" s="62">
        <v>4.0</v>
      </c>
      <c r="I22" s="62">
        <v>10.0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0" customHeight="1">
      <c r="A23" s="60" t="s">
        <v>90</v>
      </c>
      <c r="B23" s="61">
        <v>1.0</v>
      </c>
      <c r="C23" s="61">
        <v>1.0</v>
      </c>
      <c r="D23" s="61">
        <v>2.0</v>
      </c>
      <c r="E23" s="61">
        <v>2.0</v>
      </c>
      <c r="F23" s="62">
        <v>2.0</v>
      </c>
      <c r="G23" s="62">
        <v>2.0</v>
      </c>
      <c r="H23" s="62">
        <v>2.0</v>
      </c>
      <c r="I23" s="61">
        <v>8.0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0" customHeight="1">
      <c r="A24" s="60" t="s">
        <v>92</v>
      </c>
      <c r="B24" s="61">
        <v>1.0</v>
      </c>
      <c r="C24" s="61">
        <v>1.0</v>
      </c>
      <c r="D24" s="61">
        <v>2.0</v>
      </c>
      <c r="E24" s="61">
        <v>2.0</v>
      </c>
      <c r="F24" s="61">
        <v>3.0</v>
      </c>
      <c r="G24" s="62">
        <v>3.0</v>
      </c>
      <c r="H24" s="62">
        <v>3.0</v>
      </c>
      <c r="I24" s="62">
        <v>6.0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0" customHeight="1">
      <c r="A25" s="60" t="s">
        <v>94</v>
      </c>
      <c r="B25" s="61">
        <v>1.0</v>
      </c>
      <c r="C25" s="61">
        <v>1.0</v>
      </c>
      <c r="D25" s="61">
        <v>1.0</v>
      </c>
      <c r="E25" s="61">
        <v>2.0</v>
      </c>
      <c r="F25" s="61">
        <v>2.0</v>
      </c>
      <c r="G25" s="61">
        <v>3.0</v>
      </c>
      <c r="H25" s="61">
        <v>3.0</v>
      </c>
      <c r="I25" s="62">
        <v>7.0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0" customHeight="1">
      <c r="A26" s="60" t="s">
        <v>95</v>
      </c>
      <c r="B26" s="61">
        <v>1.0</v>
      </c>
      <c r="C26" s="61">
        <v>2.0</v>
      </c>
      <c r="D26" s="64">
        <v>2.0</v>
      </c>
      <c r="E26" s="62">
        <v>2.0</v>
      </c>
      <c r="F26" s="62">
        <v>2.0</v>
      </c>
      <c r="G26" s="62">
        <v>3.0</v>
      </c>
      <c r="H26" s="62">
        <v>3.0</v>
      </c>
      <c r="I26" s="61">
        <v>5.0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77.25" customHeight="1">
      <c r="A27" s="15" t="s">
        <v>96</v>
      </c>
      <c r="B27" s="66">
        <v>0.05</v>
      </c>
      <c r="C27" s="15" t="s">
        <v>64</v>
      </c>
      <c r="D27" s="67" t="s">
        <v>97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1.75" customHeight="1">
      <c r="A28" s="14" t="s">
        <v>98</v>
      </c>
      <c r="B28" s="7"/>
      <c r="C28" s="7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61.5" customHeight="1">
      <c r="A29" s="15" t="s">
        <v>99</v>
      </c>
      <c r="B29" s="68" t="s">
        <v>100</v>
      </c>
      <c r="C29" s="15" t="s">
        <v>101</v>
      </c>
      <c r="D29" s="33" t="s">
        <v>102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104</v>
      </c>
      <c r="B30" s="69">
        <v>5.0</v>
      </c>
      <c r="C30" s="15" t="s">
        <v>21</v>
      </c>
      <c r="D30" s="2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105</v>
      </c>
      <c r="B31" s="66">
        <v>0.15</v>
      </c>
      <c r="C31" s="15" t="s">
        <v>42</v>
      </c>
      <c r="D31" s="20" t="s">
        <v>106</v>
      </c>
      <c r="E31" s="38" t="s">
        <v>51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75" customHeight="1">
      <c r="A32" s="70" t="s">
        <v>107</v>
      </c>
      <c r="B32" s="37">
        <v>0.05</v>
      </c>
      <c r="C32" s="15" t="s">
        <v>42</v>
      </c>
      <c r="D32" s="33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0.75" customHeight="1">
      <c r="A33" s="70" t="s">
        <v>108</v>
      </c>
      <c r="B33" s="37">
        <v>0.0595</v>
      </c>
      <c r="C33" s="15" t="s">
        <v>42</v>
      </c>
      <c r="D33" s="33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1.75" customHeight="1">
      <c r="A34" s="14" t="s">
        <v>109</v>
      </c>
      <c r="B34" s="7"/>
      <c r="C34" s="7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0.75" customHeight="1">
      <c r="A35" s="15" t="s">
        <v>111</v>
      </c>
      <c r="B35" s="37">
        <v>0.1</v>
      </c>
      <c r="C35" s="15" t="s">
        <v>42</v>
      </c>
      <c r="D35" s="33" t="s">
        <v>112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0.75" customHeight="1">
      <c r="A36" s="15" t="s">
        <v>113</v>
      </c>
      <c r="B36" s="37">
        <v>0.1</v>
      </c>
      <c r="C36" s="15" t="s">
        <v>42</v>
      </c>
      <c r="D36" s="33" t="s">
        <v>115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0" customHeight="1">
      <c r="A37" s="15" t="s">
        <v>116</v>
      </c>
      <c r="B37" s="37">
        <v>0.02</v>
      </c>
      <c r="C37" s="15" t="s">
        <v>42</v>
      </c>
      <c r="D37" s="33" t="s">
        <v>117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1.75" customHeight="1">
      <c r="A38" s="14" t="s">
        <v>118</v>
      </c>
      <c r="B38" s="7"/>
      <c r="C38" s="7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93.0" customHeight="1">
      <c r="A39" s="15" t="s">
        <v>119</v>
      </c>
      <c r="B39" s="50">
        <v>0.15</v>
      </c>
      <c r="C39" s="15" t="s">
        <v>121</v>
      </c>
      <c r="D39" s="20" t="s">
        <v>122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93.0" customHeight="1">
      <c r="A40" s="15" t="s">
        <v>123</v>
      </c>
      <c r="B40" s="50">
        <v>0.12</v>
      </c>
      <c r="C40" s="15" t="s">
        <v>121</v>
      </c>
      <c r="D40" s="20" t="s">
        <v>124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08.0" customHeight="1">
      <c r="A41" s="15" t="s">
        <v>125</v>
      </c>
      <c r="B41" s="50">
        <v>0.1</v>
      </c>
      <c r="C41" s="15" t="s">
        <v>121</v>
      </c>
      <c r="D41" s="20" t="s">
        <v>126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93.0" customHeight="1">
      <c r="A42" s="15" t="s">
        <v>127</v>
      </c>
      <c r="B42" s="50">
        <v>0.15</v>
      </c>
      <c r="C42" s="15" t="s">
        <v>128</v>
      </c>
      <c r="D42" s="20" t="s">
        <v>129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61.5" customHeight="1">
      <c r="A43" s="15" t="s">
        <v>130</v>
      </c>
      <c r="B43" s="16">
        <v>240.0</v>
      </c>
      <c r="C43" s="15" t="s">
        <v>131</v>
      </c>
      <c r="D43" s="20" t="s">
        <v>132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61.5" customHeight="1">
      <c r="A44" s="15" t="s">
        <v>133</v>
      </c>
      <c r="B44" s="16">
        <v>40.0</v>
      </c>
      <c r="C44" s="15" t="s">
        <v>131</v>
      </c>
      <c r="D44" s="20" t="s">
        <v>134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71" t="s">
        <v>136</v>
      </c>
      <c r="B46" s="7"/>
      <c r="C46" s="7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77.25" customHeight="1">
      <c r="A47" s="72" t="s">
        <v>137</v>
      </c>
      <c r="B47" s="61">
        <v>7.0</v>
      </c>
      <c r="C47" s="72" t="s">
        <v>64</v>
      </c>
      <c r="D47" s="72" t="s">
        <v>138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77.25" customHeight="1">
      <c r="A48" s="72" t="s">
        <v>139</v>
      </c>
      <c r="B48" s="73">
        <f>(220/8)^(1/6)-1</f>
        <v>0.7373558554</v>
      </c>
      <c r="C48" s="72" t="s">
        <v>141</v>
      </c>
      <c r="D48" s="74" t="s">
        <v>142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6.5" customHeight="1">
      <c r="A49" s="72" t="s">
        <v>143</v>
      </c>
      <c r="B49" s="73">
        <f>'2. Báo cáo Ngân lưu'!I54/ABS('2. Báo cáo Ngân lưu'!B54)</f>
        <v>7.028785578</v>
      </c>
      <c r="C49" s="72" t="s">
        <v>144</v>
      </c>
      <c r="D49" s="72" t="s">
        <v>145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72" t="s">
        <v>146</v>
      </c>
      <c r="B50" s="61">
        <v>15.0</v>
      </c>
      <c r="C50" s="72" t="s">
        <v>147</v>
      </c>
      <c r="D50" s="72" t="s">
        <v>148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72" t="s">
        <v>150</v>
      </c>
      <c r="B51" s="61">
        <f>B30*12*5+B9*B31*3</f>
        <v>300</v>
      </c>
      <c r="C51" s="72" t="s">
        <v>147</v>
      </c>
      <c r="D51" s="72" t="s">
        <v>151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61.5" customHeight="1">
      <c r="A52" s="72" t="s">
        <v>152</v>
      </c>
      <c r="B52" s="73">
        <f>B51/B50</f>
        <v>20</v>
      </c>
      <c r="C52" s="72" t="s">
        <v>144</v>
      </c>
      <c r="D52" s="72" t="s">
        <v>153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61.5" customHeight="1">
      <c r="A53" s="72" t="s">
        <v>154</v>
      </c>
      <c r="B53" s="61">
        <f>18*B30*12</f>
        <v>1080</v>
      </c>
      <c r="C53" s="72" t="s">
        <v>21</v>
      </c>
      <c r="D53" s="74" t="s">
        <v>155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D1"/>
    <mergeCell ref="A3:D3"/>
    <mergeCell ref="A9:D9"/>
    <mergeCell ref="A19:I19"/>
    <mergeCell ref="A28:D28"/>
    <mergeCell ref="A34:D34"/>
    <mergeCell ref="A38:D38"/>
    <mergeCell ref="A46:D46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9.86"/>
    <col customWidth="1" min="2" max="9" width="16.0"/>
    <col customWidth="1" min="10" max="26" width="8.57"/>
  </cols>
  <sheetData>
    <row r="1" ht="38.25" customHeight="1">
      <c r="A1" s="1" t="s">
        <v>0</v>
      </c>
      <c r="B1" s="3"/>
      <c r="C1" s="3"/>
      <c r="D1" s="3"/>
      <c r="E1" s="3"/>
      <c r="F1" s="3"/>
      <c r="G1" s="3"/>
      <c r="H1" s="3"/>
      <c r="I1" s="8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3" t="s">
        <v>6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.0" customHeight="1">
      <c r="A3" s="12" t="s">
        <v>5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15</v>
      </c>
      <c r="G3" s="12" t="s">
        <v>16</v>
      </c>
      <c r="H3" s="12" t="s">
        <v>17</v>
      </c>
      <c r="I3" s="12" t="s">
        <v>18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17" t="s">
        <v>24</v>
      </c>
      <c r="B4" s="19"/>
      <c r="C4" s="19"/>
      <c r="D4" s="19"/>
      <c r="E4" s="19"/>
      <c r="F4" s="19"/>
      <c r="G4" s="19"/>
      <c r="H4" s="19"/>
      <c r="I4" s="2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75" customHeight="1">
      <c r="A5" s="24" t="s">
        <v>29</v>
      </c>
      <c r="B5" s="26" t="s">
        <v>26</v>
      </c>
      <c r="C5" s="28">
        <f t="shared" ref="C5:I5" si="1">C6*C7*12</f>
        <v>480</v>
      </c>
      <c r="D5" s="28">
        <f t="shared" si="1"/>
        <v>1080</v>
      </c>
      <c r="E5" s="28">
        <f t="shared" si="1"/>
        <v>2100</v>
      </c>
      <c r="F5" s="28">
        <f t="shared" si="1"/>
        <v>3600</v>
      </c>
      <c r="G5" s="28">
        <f t="shared" si="1"/>
        <v>6000</v>
      </c>
      <c r="H5" s="28">
        <f t="shared" si="1"/>
        <v>10200</v>
      </c>
      <c r="I5" s="28">
        <f t="shared" si="1"/>
        <v>13200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0" customHeight="1">
      <c r="A6" s="21" t="s">
        <v>38</v>
      </c>
      <c r="B6" s="23" t="s">
        <v>26</v>
      </c>
      <c r="C6" s="35">
        <v>8.0</v>
      </c>
      <c r="D6" s="35">
        <v>18.0</v>
      </c>
      <c r="E6" s="35">
        <v>35.0</v>
      </c>
      <c r="F6" s="35">
        <v>60.0</v>
      </c>
      <c r="G6" s="35">
        <v>100.0</v>
      </c>
      <c r="H6" s="35">
        <v>170.0</v>
      </c>
      <c r="I6" s="35">
        <v>220.0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0" customHeight="1">
      <c r="A7" s="21" t="s">
        <v>40</v>
      </c>
      <c r="B7" s="23" t="s">
        <v>26</v>
      </c>
      <c r="C7" s="27">
        <f>'1. Giả định &amp; Thông số'!$B$30</f>
        <v>5</v>
      </c>
      <c r="D7" s="27">
        <f>'1. Giả định &amp; Thông số'!$B$30</f>
        <v>5</v>
      </c>
      <c r="E7" s="27">
        <f>'1. Giả định &amp; Thông số'!$B$30</f>
        <v>5</v>
      </c>
      <c r="F7" s="27">
        <f>'1. Giả định &amp; Thông số'!$B$30</f>
        <v>5</v>
      </c>
      <c r="G7" s="27">
        <f>'1. Giả định &amp; Thông số'!$B$30</f>
        <v>5</v>
      </c>
      <c r="H7" s="27">
        <f>'1. Giả định &amp; Thông số'!$B$30</f>
        <v>5</v>
      </c>
      <c r="I7" s="27">
        <f>'1. Giả định &amp; Thông số'!$B$30</f>
        <v>5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75" customHeight="1">
      <c r="A8" s="24" t="s">
        <v>50</v>
      </c>
      <c r="B8" s="26" t="s">
        <v>26</v>
      </c>
      <c r="C8" s="28"/>
      <c r="D8" s="28"/>
      <c r="E8" s="28"/>
      <c r="F8" s="28"/>
      <c r="G8" s="28"/>
      <c r="H8" s="28"/>
      <c r="I8" s="28"/>
      <c r="J8" s="38" t="s">
        <v>51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0" customHeight="1">
      <c r="A9" s="21" t="s">
        <v>53</v>
      </c>
      <c r="B9" s="23" t="s">
        <v>26</v>
      </c>
      <c r="C9" s="40"/>
      <c r="D9" s="40"/>
      <c r="E9" s="40"/>
      <c r="F9" s="40"/>
      <c r="G9" s="40"/>
      <c r="H9" s="40"/>
      <c r="I9" s="40"/>
      <c r="J9" s="38" t="s">
        <v>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0" customHeight="1">
      <c r="A10" s="21" t="s">
        <v>54</v>
      </c>
      <c r="B10" s="23" t="s">
        <v>26</v>
      </c>
      <c r="C10" s="42"/>
      <c r="D10" s="42"/>
      <c r="E10" s="42"/>
      <c r="F10" s="42"/>
      <c r="G10" s="42"/>
      <c r="H10" s="42"/>
      <c r="I10" s="42"/>
      <c r="J10" s="38" t="s">
        <v>51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0.75" customHeight="1">
      <c r="A11" s="24" t="s">
        <v>55</v>
      </c>
      <c r="B11" s="26" t="s">
        <v>26</v>
      </c>
      <c r="C11" s="44">
        <f t="shared" ref="C11:I11" si="2">C12*5%+C13*6%</f>
        <v>112</v>
      </c>
      <c r="D11" s="44">
        <f t="shared" si="2"/>
        <v>322.56</v>
      </c>
      <c r="E11" s="44">
        <f t="shared" si="2"/>
        <v>823.2</v>
      </c>
      <c r="F11" s="44">
        <f t="shared" si="2"/>
        <v>1848</v>
      </c>
      <c r="G11" s="44">
        <f t="shared" si="2"/>
        <v>3920</v>
      </c>
      <c r="H11" s="44">
        <f t="shared" si="2"/>
        <v>8092</v>
      </c>
      <c r="I11" s="44">
        <f t="shared" si="2"/>
        <v>12320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0" customHeight="1">
      <c r="A12" s="45" t="s">
        <v>57</v>
      </c>
      <c r="B12" s="23" t="s">
        <v>26</v>
      </c>
      <c r="C12" s="46">
        <v>800.0</v>
      </c>
      <c r="D12" s="46">
        <v>2304.0</v>
      </c>
      <c r="E12" s="46">
        <v>5880.0</v>
      </c>
      <c r="F12" s="46">
        <v>13200.0</v>
      </c>
      <c r="G12" s="46">
        <v>28000.0</v>
      </c>
      <c r="H12" s="46">
        <v>57800.0</v>
      </c>
      <c r="I12" s="46">
        <v>88000.0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0" customHeight="1">
      <c r="A13" s="45" t="s">
        <v>58</v>
      </c>
      <c r="B13" s="23" t="s">
        <v>26</v>
      </c>
      <c r="C13" s="46">
        <v>1200.0</v>
      </c>
      <c r="D13" s="46">
        <v>3456.0</v>
      </c>
      <c r="E13" s="46">
        <v>8820.0</v>
      </c>
      <c r="F13" s="46">
        <v>19800.0</v>
      </c>
      <c r="G13" s="46">
        <v>42000.0</v>
      </c>
      <c r="H13" s="46">
        <v>86700.0</v>
      </c>
      <c r="I13" s="46">
        <v>132000.0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0.75" customHeight="1">
      <c r="A14" s="24" t="s">
        <v>59</v>
      </c>
      <c r="B14" s="26">
        <v>0.0</v>
      </c>
      <c r="C14" s="47">
        <v>0.0</v>
      </c>
      <c r="D14" s="47">
        <v>0.0</v>
      </c>
      <c r="E14" s="47">
        <v>0.0</v>
      </c>
      <c r="F14" s="47">
        <v>0.0</v>
      </c>
      <c r="G14" s="44">
        <v>0.0</v>
      </c>
      <c r="H14" s="44">
        <v>0.0</v>
      </c>
      <c r="I14" s="44">
        <f>'1. Giả định &amp; Thông số'!$B$35*(I5+I8+I11)</f>
        <v>2552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0" customHeight="1">
      <c r="A15" s="48" t="s">
        <v>62</v>
      </c>
      <c r="B15" s="49">
        <v>0.0</v>
      </c>
      <c r="C15" s="51">
        <f t="shared" ref="C15:I15" si="3">C5+C8+C11+IF(ISNUMBER(C14),C14,0)</f>
        <v>592</v>
      </c>
      <c r="D15" s="51">
        <f t="shared" si="3"/>
        <v>1402.56</v>
      </c>
      <c r="E15" s="51">
        <f t="shared" si="3"/>
        <v>2923.2</v>
      </c>
      <c r="F15" s="51">
        <f t="shared" si="3"/>
        <v>5448</v>
      </c>
      <c r="G15" s="51">
        <f t="shared" si="3"/>
        <v>9920</v>
      </c>
      <c r="H15" s="51">
        <f t="shared" si="3"/>
        <v>18292</v>
      </c>
      <c r="I15" s="51">
        <f t="shared" si="3"/>
        <v>28072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0" customHeight="1">
      <c r="A17" s="52" t="s">
        <v>68</v>
      </c>
      <c r="B17" s="4"/>
      <c r="C17" s="4"/>
      <c r="D17" s="4"/>
      <c r="E17" s="4"/>
      <c r="F17" s="4"/>
      <c r="G17" s="4"/>
      <c r="H17" s="4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0" customHeight="1">
      <c r="A18" s="53" t="s">
        <v>72</v>
      </c>
      <c r="B18" s="36">
        <f>'1. Giả định &amp; Thông số'!$B$4+'1. Giả định &amp; Thông số'!$B$5+'1. Giả định &amp; Thông số'!$B$6+'1. Giả định &amp; Thông số'!$B$7</f>
        <v>2590</v>
      </c>
      <c r="C18" s="55" t="s">
        <v>26</v>
      </c>
      <c r="D18" s="55" t="s">
        <v>26</v>
      </c>
      <c r="E18" s="55" t="s">
        <v>26</v>
      </c>
      <c r="F18" s="55" t="s">
        <v>26</v>
      </c>
      <c r="G18" s="55" t="s">
        <v>26</v>
      </c>
      <c r="H18" s="55" t="s">
        <v>26</v>
      </c>
      <c r="I18" s="55" t="s">
        <v>26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0" customHeight="1">
      <c r="A19" s="21" t="s">
        <v>77</v>
      </c>
      <c r="B19" s="27">
        <f>'1. Giả định &amp; Thông số'!$B$4</f>
        <v>10</v>
      </c>
      <c r="C19" s="23" t="s">
        <v>26</v>
      </c>
      <c r="D19" s="23" t="s">
        <v>26</v>
      </c>
      <c r="E19" s="23" t="s">
        <v>26</v>
      </c>
      <c r="F19" s="23" t="s">
        <v>26</v>
      </c>
      <c r="G19" s="23" t="s">
        <v>26</v>
      </c>
      <c r="H19" s="23" t="s">
        <v>26</v>
      </c>
      <c r="I19" s="23" t="s">
        <v>26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0" customHeight="1">
      <c r="A20" s="21" t="s">
        <v>79</v>
      </c>
      <c r="B20" s="27">
        <f>'1. Giả định &amp; Thông số'!$B$5</f>
        <v>1800</v>
      </c>
      <c r="C20" s="23" t="s">
        <v>26</v>
      </c>
      <c r="D20" s="23" t="s">
        <v>26</v>
      </c>
      <c r="E20" s="23" t="s">
        <v>26</v>
      </c>
      <c r="F20" s="23" t="s">
        <v>26</v>
      </c>
      <c r="G20" s="23" t="s">
        <v>26</v>
      </c>
      <c r="H20" s="23" t="s">
        <v>26</v>
      </c>
      <c r="I20" s="23" t="s">
        <v>26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0" customHeight="1">
      <c r="A21" s="21" t="s">
        <v>87</v>
      </c>
      <c r="B21" s="27">
        <f>'1. Giả định &amp; Thông số'!$B$6</f>
        <v>180</v>
      </c>
      <c r="C21" s="23" t="s">
        <v>26</v>
      </c>
      <c r="D21" s="23" t="s">
        <v>26</v>
      </c>
      <c r="E21" s="23" t="s">
        <v>26</v>
      </c>
      <c r="F21" s="23" t="s">
        <v>26</v>
      </c>
      <c r="G21" s="23" t="s">
        <v>26</v>
      </c>
      <c r="H21" s="23" t="s">
        <v>26</v>
      </c>
      <c r="I21" s="23" t="s">
        <v>26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0.75" customHeight="1">
      <c r="A22" s="21" t="s">
        <v>89</v>
      </c>
      <c r="B22" s="27">
        <f>'1. Giả định &amp; Thông số'!$B$7</f>
        <v>600</v>
      </c>
      <c r="C22" s="23" t="s">
        <v>26</v>
      </c>
      <c r="D22" s="23" t="s">
        <v>26</v>
      </c>
      <c r="E22" s="23" t="s">
        <v>26</v>
      </c>
      <c r="F22" s="23" t="s">
        <v>26</v>
      </c>
      <c r="G22" s="23" t="s">
        <v>26</v>
      </c>
      <c r="H22" s="23" t="s">
        <v>26</v>
      </c>
      <c r="I22" s="23" t="s">
        <v>26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0.75" customHeight="1">
      <c r="A23" s="63" t="s">
        <v>93</v>
      </c>
      <c r="B23" s="34" t="s">
        <v>26</v>
      </c>
      <c r="C23" s="65">
        <f>'3. Chi phí chi tiết'!C10</f>
        <v>720</v>
      </c>
      <c r="D23" s="65">
        <f>'3. Chi phí chi tiết'!D10</f>
        <v>819</v>
      </c>
      <c r="E23" s="65">
        <f>'3. Chi phí chi tiết'!E10</f>
        <v>1177.47</v>
      </c>
      <c r="F23" s="65">
        <f>'3. Chi phí chi tiết'!F10</f>
        <v>1666.98</v>
      </c>
      <c r="G23" s="65">
        <f>'3. Chi phí chi tiết'!G10</f>
        <v>1837.84545</v>
      </c>
      <c r="H23" s="65">
        <f>'3. Chi phí chi tiết'!H10</f>
        <v>2219.198381</v>
      </c>
      <c r="I23" s="65">
        <f>'3. Chi phí chi tiết'!I10</f>
        <v>2330.1583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0" customHeight="1">
      <c r="A24" s="21" t="s">
        <v>103</v>
      </c>
      <c r="B24" s="23" t="s">
        <v>26</v>
      </c>
      <c r="C24" s="27">
        <f>'3. Chi phí chi tiết'!C4</f>
        <v>168</v>
      </c>
      <c r="D24" s="27">
        <f>'3. Chi phí chi tiết'!D4</f>
        <v>176.4</v>
      </c>
      <c r="E24" s="27">
        <f>'3. Chi phí chi tiết'!E4</f>
        <v>185.22</v>
      </c>
      <c r="F24" s="27">
        <f>'3. Chi phí chi tiết'!F4</f>
        <v>388.962</v>
      </c>
      <c r="G24" s="27">
        <f>'3. Chi phí chi tiết'!G4</f>
        <v>408.4101</v>
      </c>
      <c r="H24" s="27">
        <f>'3. Chi phí chi tiết'!H4</f>
        <v>450.2721353</v>
      </c>
      <c r="I24" s="27">
        <f>'3. Chi phí chi tiết'!I4</f>
        <v>472.785742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0" customHeight="1">
      <c r="A25" s="21" t="s">
        <v>110</v>
      </c>
      <c r="B25" s="23" t="s">
        <v>26</v>
      </c>
      <c r="C25" s="27">
        <f>'3. Chi phí chi tiết'!C5</f>
        <v>240</v>
      </c>
      <c r="D25" s="27">
        <f>'3. Chi phí chi tiết'!D5</f>
        <v>252</v>
      </c>
      <c r="E25" s="27">
        <f>'3. Chi phí chi tiết'!E5</f>
        <v>396.9</v>
      </c>
      <c r="F25" s="27">
        <f>'3. Chi phí chi tiết'!F5</f>
        <v>555.66</v>
      </c>
      <c r="G25" s="27">
        <f>'3. Chi phí chi tiết'!G5</f>
        <v>583.443</v>
      </c>
      <c r="H25" s="27">
        <f>'3. Chi phí chi tiết'!H5</f>
        <v>643.2459075</v>
      </c>
      <c r="I25" s="27">
        <f>'3. Chi phí chi tiết'!I5</f>
        <v>675.4082029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0.75" customHeight="1">
      <c r="A26" s="21" t="s">
        <v>120</v>
      </c>
      <c r="B26" s="23" t="s">
        <v>26</v>
      </c>
      <c r="C26" s="27">
        <f>SUM('3. Chi phí chi tiết'!C6:C9)</f>
        <v>312</v>
      </c>
      <c r="D26" s="27">
        <f>SUM('3. Chi phí chi tiết'!D6:D9)</f>
        <v>390.6</v>
      </c>
      <c r="E26" s="27">
        <f>SUM('3. Chi phí chi tiết'!E6:E9)</f>
        <v>595.35</v>
      </c>
      <c r="F26" s="27">
        <f>SUM('3. Chi phí chi tiết'!F6:F9)</f>
        <v>722.358</v>
      </c>
      <c r="G26" s="27">
        <f>SUM('3. Chi phí chi tiết'!G6:G9)</f>
        <v>845.99235</v>
      </c>
      <c r="H26" s="27">
        <f>SUM('3. Chi phí chi tiết'!H6:H9)</f>
        <v>1125.680338</v>
      </c>
      <c r="I26" s="27">
        <f>SUM('3. Chi phí chi tiết'!I6:I9)</f>
        <v>1181.964355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0.75" customHeight="1">
      <c r="A27" s="63" t="s">
        <v>135</v>
      </c>
      <c r="B27" s="34" t="s">
        <v>26</v>
      </c>
      <c r="C27" s="65">
        <f>'3. Chi phí chi tiết'!C13</f>
        <v>270</v>
      </c>
      <c r="D27" s="65">
        <f>'3. Chi phí chi tiết'!D13</f>
        <v>270</v>
      </c>
      <c r="E27" s="65">
        <f>'3. Chi phí chi tiết'!E13</f>
        <v>270</v>
      </c>
      <c r="F27" s="65">
        <f>'3. Chi phí chi tiết'!F13</f>
        <v>270</v>
      </c>
      <c r="G27" s="65">
        <f>'3. Chi phí chi tiết'!G13</f>
        <v>270</v>
      </c>
      <c r="H27" s="65">
        <f>'3. Chi phí chi tiết'!H13</f>
        <v>270</v>
      </c>
      <c r="I27" s="65">
        <f>'3. Chi phí chi tiết'!I13</f>
        <v>270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0" customHeight="1">
      <c r="A28" s="63" t="s">
        <v>140</v>
      </c>
      <c r="B28" s="34" t="s">
        <v>26</v>
      </c>
      <c r="C28" s="65">
        <f>'3. Chi phí chi tiết'!C14</f>
        <v>88.8</v>
      </c>
      <c r="D28" s="65">
        <f>'3. Chi phí chi tiết'!D14</f>
        <v>210.384</v>
      </c>
      <c r="E28" s="65">
        <f>'3. Chi phí chi tiết'!E14</f>
        <v>438.48</v>
      </c>
      <c r="F28" s="65">
        <f>'3. Chi phí chi tiết'!F14</f>
        <v>817.2</v>
      </c>
      <c r="G28" s="65">
        <f>'3. Chi phí chi tiết'!G14</f>
        <v>1488</v>
      </c>
      <c r="H28" s="65">
        <f>'3. Chi phí chi tiết'!H14</f>
        <v>2743.8</v>
      </c>
      <c r="I28" s="65">
        <f>'3. Chi phí chi tiết'!I14</f>
        <v>4210.8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0" customHeight="1">
      <c r="A29" s="63" t="s">
        <v>149</v>
      </c>
      <c r="B29" s="34" t="s">
        <v>26</v>
      </c>
      <c r="C29" s="65">
        <f>'3. Chi phí chi tiết'!C18</f>
        <v>71.04</v>
      </c>
      <c r="D29" s="65">
        <f>'3. Chi phí chi tiết'!D18</f>
        <v>168.3072</v>
      </c>
      <c r="E29" s="65">
        <f>'3. Chi phí chi tiết'!E18</f>
        <v>350.784</v>
      </c>
      <c r="F29" s="65">
        <f>'3. Chi phí chi tiết'!F18</f>
        <v>653.76</v>
      </c>
      <c r="G29" s="65">
        <f>'3. Chi phí chi tiết'!G18</f>
        <v>1190.4</v>
      </c>
      <c r="H29" s="65">
        <f>'3. Chi phí chi tiết'!H18</f>
        <v>2195.04</v>
      </c>
      <c r="I29" s="65">
        <f>'3. Chi phí chi tiết'!I18</f>
        <v>3368.64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0" customHeight="1">
      <c r="A30" s="63" t="s">
        <v>156</v>
      </c>
      <c r="B30" s="34" t="s">
        <v>26</v>
      </c>
      <c r="C30" s="65">
        <f>'1. Giả định &amp; Thông số'!$B$43</f>
        <v>240</v>
      </c>
      <c r="D30" s="65">
        <f>'1. Giả định &amp; Thông số'!$B$43</f>
        <v>240</v>
      </c>
      <c r="E30" s="65">
        <f>'1. Giả định &amp; Thông số'!$B$43</f>
        <v>240</v>
      </c>
      <c r="F30" s="65">
        <f>'1. Giả định &amp; Thông số'!$B$43</f>
        <v>240</v>
      </c>
      <c r="G30" s="65">
        <f>'1. Giả định &amp; Thông số'!$B$43</f>
        <v>240</v>
      </c>
      <c r="H30" s="65">
        <f>'1. Giả định &amp; Thông số'!$B$43</f>
        <v>240</v>
      </c>
      <c r="I30" s="65">
        <f>'1. Giả định &amp; Thông số'!$B$43</f>
        <v>240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0" customHeight="1">
      <c r="A31" s="63" t="s">
        <v>157</v>
      </c>
      <c r="B31" s="34" t="s">
        <v>26</v>
      </c>
      <c r="C31" s="65">
        <f>'1. Giả định &amp; Thông số'!$B$44</f>
        <v>40</v>
      </c>
      <c r="D31" s="65">
        <f>'1. Giả định &amp; Thông số'!$B$44</f>
        <v>40</v>
      </c>
      <c r="E31" s="65">
        <f>'1. Giả định &amp; Thông số'!$B$44</f>
        <v>40</v>
      </c>
      <c r="F31" s="65">
        <f>'1. Giả định &amp; Thông số'!$B$44</f>
        <v>40</v>
      </c>
      <c r="G31" s="65">
        <f>'1. Giả định &amp; Thông số'!$B$44</f>
        <v>40</v>
      </c>
      <c r="H31" s="65">
        <f>'1. Giả định &amp; Thông số'!$B$44</f>
        <v>40</v>
      </c>
      <c r="I31" s="65">
        <f>'1. Giả định &amp; Thông số'!$B$44</f>
        <v>40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0" customHeight="1">
      <c r="A32" s="63" t="s">
        <v>159</v>
      </c>
      <c r="B32" s="34" t="s">
        <v>26</v>
      </c>
      <c r="C32" s="65">
        <f>'3. Chi phí chi tiết'!C19</f>
        <v>59.2</v>
      </c>
      <c r="D32" s="65">
        <f>'3. Chi phí chi tiết'!D19</f>
        <v>140.256</v>
      </c>
      <c r="E32" s="65">
        <f>'3. Chi phí chi tiết'!E19</f>
        <v>292.32</v>
      </c>
      <c r="F32" s="65">
        <f>'3. Chi phí chi tiết'!F19</f>
        <v>544.8</v>
      </c>
      <c r="G32" s="65">
        <f>'3. Chi phí chi tiết'!G19</f>
        <v>992</v>
      </c>
      <c r="H32" s="65">
        <f>'3. Chi phí chi tiết'!H19</f>
        <v>1829.2</v>
      </c>
      <c r="I32" s="65">
        <f>'3. Chi phí chi tiết'!I19</f>
        <v>2807.2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0" customHeight="1">
      <c r="A33" s="63" t="s">
        <v>160</v>
      </c>
      <c r="B33" s="34" t="s">
        <v>26</v>
      </c>
      <c r="C33" s="36">
        <f>MAX(0,'1. Giả định &amp; Thông số'!$B$35*C15)</f>
        <v>59.2</v>
      </c>
      <c r="D33" s="36">
        <f>MAX(0,'1. Giả định &amp; Thông số'!$B$35*(D15-C15))</f>
        <v>81.056</v>
      </c>
      <c r="E33" s="36">
        <f>MAX(0,'1. Giả định &amp; Thông số'!$B$35*(E15-D15))</f>
        <v>152.064</v>
      </c>
      <c r="F33" s="36">
        <f>MAX(0,'1. Giả định &amp; Thông số'!$B$35*(F15-E15))</f>
        <v>252.48</v>
      </c>
      <c r="G33" s="36">
        <f>MAX(0,'1. Giả định &amp; Thông số'!$B$35*(G15-F15))</f>
        <v>447.2</v>
      </c>
      <c r="H33" s="36">
        <f>MAX(0,'1. Giả định &amp; Thông số'!$B$35*(H15-G15))</f>
        <v>837.2</v>
      </c>
      <c r="I33" s="36">
        <f>MAX(0,'1. Giả định &amp; Thông số'!$B$35*(I15-H15))</f>
        <v>978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0" customHeight="1">
      <c r="A34" s="21" t="s">
        <v>162</v>
      </c>
      <c r="B34" s="23" t="s">
        <v>26</v>
      </c>
      <c r="C34" s="30">
        <f>MAX(0,'1. Giả định &amp; Thông số'!$B$35*C15)</f>
        <v>59.2</v>
      </c>
      <c r="D34" s="30">
        <f>MAX(0,'1. Giả định &amp; Thông số'!$B$35*(D15-C15))</f>
        <v>81.056</v>
      </c>
      <c r="E34" s="30">
        <f>MAX(0,'1. Giả định &amp; Thông số'!$B$35*(E15-D15))</f>
        <v>152.064</v>
      </c>
      <c r="F34" s="30">
        <f>MAX(0,'1. Giả định &amp; Thông số'!$B$35*(F15-E15))</f>
        <v>252.48</v>
      </c>
      <c r="G34" s="30">
        <f>MAX(0,'1. Giả định &amp; Thông số'!$B$35*(G15-F15))</f>
        <v>447.2</v>
      </c>
      <c r="H34" s="30">
        <f t="shared" ref="H34:I34" si="4">H33</f>
        <v>837.2</v>
      </c>
      <c r="I34" s="30">
        <f t="shared" si="4"/>
        <v>978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0" customHeight="1">
      <c r="A35" s="63" t="s">
        <v>166</v>
      </c>
      <c r="B35" s="34" t="s">
        <v>26</v>
      </c>
      <c r="C35" s="65">
        <f>MAX(0,'1. Giả định &amp; Thông số'!$B$16*'4. Báo cáo Thu nhập'!C11)</f>
        <v>0</v>
      </c>
      <c r="D35" s="65">
        <f>MAX(0,'1. Giả định &amp; Thông số'!$B$16*'4. Báo cáo Thu nhập'!D11)</f>
        <v>0</v>
      </c>
      <c r="E35" s="65">
        <f>MAX(0,'1. Giả định &amp; Thông số'!$B$16*'4. Báo cáo Thu nhập'!E11)</f>
        <v>0</v>
      </c>
      <c r="F35" s="65">
        <f>MAX(0,'1. Giả định &amp; Thông số'!$B$16*'4. Báo cáo Thu nhập'!F11)</f>
        <v>175.9197166</v>
      </c>
      <c r="G35" s="65">
        <f>MAX(0,'1. Giả định &amp; Thông số'!$B$16*'4. Báo cáo Thu nhập'!G11)</f>
        <v>710.2237711</v>
      </c>
      <c r="H35" s="65">
        <f>MAX(0,'1. Giả định &amp; Thông số'!$B$16*'4. Báo cáo Thu nhập'!H11)</f>
        <v>1694.380895</v>
      </c>
      <c r="I35" s="65">
        <f>MAX(0,'1. Giả định &amp; Thông số'!$B$16*'4. Báo cáo Thu nhập'!I11)</f>
        <v>2904.468911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0.25" customHeight="1">
      <c r="A36" s="78" t="s">
        <v>169</v>
      </c>
      <c r="B36" s="51">
        <f>'1. Giả định &amp; Thông số'!$B$4+'1. Giả định &amp; Thông số'!$B$5+'1. Giả định &amp; Thông số'!$B$6+'1. Giả định &amp; Thông số'!$B$7</f>
        <v>2590</v>
      </c>
      <c r="C36" s="51">
        <f t="shared" ref="C36:I36" si="5">C23+C27+C28+C29+C30+C31+C32+C33+C35</f>
        <v>1548.24</v>
      </c>
      <c r="D36" s="51">
        <f t="shared" si="5"/>
        <v>1969.0032</v>
      </c>
      <c r="E36" s="51">
        <f t="shared" si="5"/>
        <v>2961.118</v>
      </c>
      <c r="F36" s="51">
        <f t="shared" si="5"/>
        <v>4661.139717</v>
      </c>
      <c r="G36" s="51">
        <f t="shared" si="5"/>
        <v>7215.669221</v>
      </c>
      <c r="H36" s="51">
        <f t="shared" si="5"/>
        <v>12068.81928</v>
      </c>
      <c r="I36" s="51">
        <f t="shared" si="5"/>
        <v>17149.26721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0" customHeight="1">
      <c r="A38" s="79" t="s">
        <v>173</v>
      </c>
      <c r="B38" s="4"/>
      <c r="C38" s="4"/>
      <c r="D38" s="4"/>
      <c r="E38" s="4"/>
      <c r="F38" s="4"/>
      <c r="G38" s="4"/>
      <c r="H38" s="4"/>
      <c r="I38" s="6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0.0" customHeight="1">
      <c r="A39" s="80" t="s">
        <v>175</v>
      </c>
      <c r="B39" s="81">
        <f>-B36</f>
        <v>-2590</v>
      </c>
      <c r="C39" s="81">
        <f t="shared" ref="C39:I39" si="6">C15-C36</f>
        <v>-956.24</v>
      </c>
      <c r="D39" s="81">
        <f t="shared" si="6"/>
        <v>-566.4432</v>
      </c>
      <c r="E39" s="81">
        <f t="shared" si="6"/>
        <v>-37.918</v>
      </c>
      <c r="F39" s="81">
        <f t="shared" si="6"/>
        <v>786.8602834</v>
      </c>
      <c r="G39" s="81">
        <f t="shared" si="6"/>
        <v>2704.330779</v>
      </c>
      <c r="H39" s="81">
        <f t="shared" si="6"/>
        <v>6223.180724</v>
      </c>
      <c r="I39" s="81">
        <f t="shared" si="6"/>
        <v>10922.73279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0" customHeight="1">
      <c r="A40" s="82" t="s">
        <v>178</v>
      </c>
      <c r="B40" s="30">
        <f>B39</f>
        <v>-2590</v>
      </c>
      <c r="C40" s="30">
        <f t="shared" ref="C40:I40" si="7">B40+C39</f>
        <v>-3546.24</v>
      </c>
      <c r="D40" s="30">
        <f t="shared" si="7"/>
        <v>-4112.6832</v>
      </c>
      <c r="E40" s="30">
        <f t="shared" si="7"/>
        <v>-4150.6012</v>
      </c>
      <c r="F40" s="30">
        <f t="shared" si="7"/>
        <v>-3363.740917</v>
      </c>
      <c r="G40" s="30">
        <f t="shared" si="7"/>
        <v>-659.4101377</v>
      </c>
      <c r="H40" s="30">
        <f t="shared" si="7"/>
        <v>5563.770586</v>
      </c>
      <c r="I40" s="30">
        <f t="shared" si="7"/>
        <v>16486.50337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0" customHeight="1">
      <c r="A42" s="84" t="s">
        <v>181</v>
      </c>
      <c r="B42" s="4"/>
      <c r="C42" s="4"/>
      <c r="D42" s="4"/>
      <c r="E42" s="4"/>
      <c r="F42" s="4"/>
      <c r="G42" s="4"/>
      <c r="H42" s="4"/>
      <c r="I42" s="6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0" customHeight="1">
      <c r="A43" s="85" t="s">
        <v>183</v>
      </c>
      <c r="B43" s="87">
        <f>'1. Giả định &amp; Thông số'!$B$12</f>
        <v>1036</v>
      </c>
      <c r="C43" s="88" t="s">
        <v>26</v>
      </c>
      <c r="D43" s="88" t="s">
        <v>26</v>
      </c>
      <c r="E43" s="88" t="s">
        <v>26</v>
      </c>
      <c r="F43" s="88" t="s">
        <v>26</v>
      </c>
      <c r="G43" s="88" t="s">
        <v>26</v>
      </c>
      <c r="H43" s="88" t="s">
        <v>26</v>
      </c>
      <c r="I43" s="88" t="s">
        <v>26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0" customHeight="1">
      <c r="A44" s="21" t="s">
        <v>25</v>
      </c>
      <c r="B44" s="90" t="s">
        <v>26</v>
      </c>
      <c r="C44" s="27">
        <f>'1. Giả định &amp; Thông số'!$B$12</f>
        <v>1036</v>
      </c>
      <c r="D44" s="30">
        <f t="shared" ref="D44:G44" si="8">C48</f>
        <v>869.6491593</v>
      </c>
      <c r="E44" s="30">
        <f t="shared" si="8"/>
        <v>684.9997262</v>
      </c>
      <c r="F44" s="30">
        <f t="shared" si="8"/>
        <v>480.0388554</v>
      </c>
      <c r="G44" s="30">
        <f t="shared" si="8"/>
        <v>252.5322889</v>
      </c>
      <c r="H44" s="30"/>
      <c r="I44" s="3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0" customHeight="1">
      <c r="A45" s="91" t="s">
        <v>186</v>
      </c>
      <c r="B45" s="92" t="s">
        <v>26</v>
      </c>
      <c r="C45" s="93">
        <f>C44*'1. Giả định &amp; Thông số'!$B$14</f>
        <v>113.96</v>
      </c>
      <c r="D45" s="93">
        <f>D44*'1. Giả định &amp; Thông số'!$B$14</f>
        <v>95.66140753</v>
      </c>
      <c r="E45" s="93">
        <f>E44*'1. Giả định &amp; Thông số'!$B$14</f>
        <v>75.34996988</v>
      </c>
      <c r="F45" s="93">
        <f>F44*'1. Giả định &amp; Thông số'!$B$14</f>
        <v>52.8042741</v>
      </c>
      <c r="G45" s="93">
        <f>G44*'1. Giả định &amp; Thông số'!$B$14</f>
        <v>27.77855178</v>
      </c>
      <c r="H45" s="93"/>
      <c r="I45" s="93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0" customHeight="1">
      <c r="A46" s="85" t="s">
        <v>47</v>
      </c>
      <c r="B46" s="92" t="s">
        <v>26</v>
      </c>
      <c r="C46" s="93">
        <f t="shared" ref="C46:G46" si="9">C47-C45</f>
        <v>166.3508407</v>
      </c>
      <c r="D46" s="93">
        <f t="shared" si="9"/>
        <v>184.6494331</v>
      </c>
      <c r="E46" s="93">
        <f t="shared" si="9"/>
        <v>204.9608708</v>
      </c>
      <c r="F46" s="93">
        <f t="shared" si="9"/>
        <v>227.5065666</v>
      </c>
      <c r="G46" s="93">
        <f t="shared" si="9"/>
        <v>252.5322889</v>
      </c>
      <c r="H46" s="93"/>
      <c r="I46" s="93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0" customHeight="1">
      <c r="A47" s="97" t="s">
        <v>192</v>
      </c>
      <c r="B47" s="98" t="s">
        <v>26</v>
      </c>
      <c r="C47" s="99">
        <f>'1. Giả định &amp; Thông số'!$B$12*'1. Giả định &amp; Thông số'!$B$14/(1-(1+'1. Giả định &amp; Thông số'!$B$14)^(-'1. Giả định &amp; Thông số'!$B$18))</f>
        <v>280.3108407</v>
      </c>
      <c r="D47" s="99">
        <f>'1. Giả định &amp; Thông số'!$B$12*'1. Giả định &amp; Thông số'!$B$14/(1-(1+'1. Giả định &amp; Thông số'!$B$14)^(-'1. Giả định &amp; Thông số'!$B$18))</f>
        <v>280.3108407</v>
      </c>
      <c r="E47" s="99">
        <f>'1. Giả định &amp; Thông số'!$B$12*'1. Giả định &amp; Thông số'!$B$14/(1-(1+'1. Giả định &amp; Thông số'!$B$14)^(-'1. Giả định &amp; Thông số'!$B$18))</f>
        <v>280.3108407</v>
      </c>
      <c r="F47" s="99">
        <f>'1. Giả định &amp; Thông số'!$B$12*'1. Giả định &amp; Thông số'!$B$14/(1-(1+'1. Giả định &amp; Thông số'!$B$14)^(-'1. Giả định &amp; Thông số'!$B$18))</f>
        <v>280.3108407</v>
      </c>
      <c r="G47" s="99">
        <f>'1. Giả định &amp; Thông số'!$B$12*'1. Giả định &amp; Thông số'!$B$14/(1-(1+'1. Giả định &amp; Thông số'!$B$14)^(-'1. Giả định &amp; Thông số'!$B$18))</f>
        <v>280.3108407</v>
      </c>
      <c r="H47" s="99"/>
      <c r="I47" s="9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0" customHeight="1">
      <c r="A48" s="21" t="s">
        <v>61</v>
      </c>
      <c r="B48" s="27">
        <f>'1. Giả định &amp; Thông số'!$B$12</f>
        <v>1036</v>
      </c>
      <c r="C48" s="30">
        <f t="shared" ref="C48:G48" si="10">C44-C46</f>
        <v>869.6491593</v>
      </c>
      <c r="D48" s="30">
        <f t="shared" si="10"/>
        <v>684.9997262</v>
      </c>
      <c r="E48" s="30">
        <f t="shared" si="10"/>
        <v>480.0388554</v>
      </c>
      <c r="F48" s="30">
        <f t="shared" si="10"/>
        <v>252.5322889</v>
      </c>
      <c r="G48" s="30">
        <f t="shared" si="10"/>
        <v>0</v>
      </c>
      <c r="H48" s="30"/>
      <c r="I48" s="3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0" customHeight="1">
      <c r="A50" s="105" t="s">
        <v>198</v>
      </c>
      <c r="B50" s="4"/>
      <c r="C50" s="4"/>
      <c r="D50" s="4"/>
      <c r="E50" s="4"/>
      <c r="F50" s="4"/>
      <c r="G50" s="4"/>
      <c r="H50" s="4"/>
      <c r="I50" s="6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0" customHeight="1">
      <c r="A51" s="21" t="s">
        <v>199</v>
      </c>
      <c r="B51" s="30">
        <f t="shared" ref="B51:I51" si="11">B39</f>
        <v>-2590</v>
      </c>
      <c r="C51" s="30">
        <f t="shared" si="11"/>
        <v>-956.24</v>
      </c>
      <c r="D51" s="30">
        <f t="shared" si="11"/>
        <v>-566.4432</v>
      </c>
      <c r="E51" s="30">
        <f t="shared" si="11"/>
        <v>-37.918</v>
      </c>
      <c r="F51" s="30">
        <f t="shared" si="11"/>
        <v>786.8602834</v>
      </c>
      <c r="G51" s="30">
        <f t="shared" si="11"/>
        <v>2704.330779</v>
      </c>
      <c r="H51" s="30">
        <f t="shared" si="11"/>
        <v>6223.180724</v>
      </c>
      <c r="I51" s="30">
        <f t="shared" si="11"/>
        <v>10922.73279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0" customHeight="1">
      <c r="A52" s="21" t="s">
        <v>200</v>
      </c>
      <c r="B52" s="27">
        <f>'1. Giả định &amp; Thông số'!$B$12</f>
        <v>1036</v>
      </c>
      <c r="C52" s="23" t="s">
        <v>26</v>
      </c>
      <c r="D52" s="23" t="s">
        <v>26</v>
      </c>
      <c r="E52" s="23" t="s">
        <v>26</v>
      </c>
      <c r="F52" s="23" t="s">
        <v>26</v>
      </c>
      <c r="G52" s="23" t="s">
        <v>26</v>
      </c>
      <c r="H52" s="23" t="s">
        <v>26</v>
      </c>
      <c r="I52" s="23" t="s">
        <v>26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0" customHeight="1">
      <c r="A53" s="21" t="s">
        <v>201</v>
      </c>
      <c r="B53" s="90" t="s">
        <v>26</v>
      </c>
      <c r="C53" s="30">
        <f t="shared" ref="C53:I53" si="12">-C47</f>
        <v>-280.3108407</v>
      </c>
      <c r="D53" s="30">
        <f t="shared" si="12"/>
        <v>-280.3108407</v>
      </c>
      <c r="E53" s="30">
        <f t="shared" si="12"/>
        <v>-280.3108407</v>
      </c>
      <c r="F53" s="30">
        <f t="shared" si="12"/>
        <v>-280.3108407</v>
      </c>
      <c r="G53" s="30">
        <f t="shared" si="12"/>
        <v>-280.3108407</v>
      </c>
      <c r="H53" s="30">
        <f t="shared" si="12"/>
        <v>0</v>
      </c>
      <c r="I53" s="30">
        <f t="shared" si="12"/>
        <v>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0" customHeight="1">
      <c r="A54" s="48" t="s">
        <v>202</v>
      </c>
      <c r="B54" s="43">
        <f>-'1. Giả định &amp; Thông số'!$B$13</f>
        <v>-1554</v>
      </c>
      <c r="C54" s="43">
        <f t="shared" ref="C54:G54" si="13">C51+C53</f>
        <v>-1236.550841</v>
      </c>
      <c r="D54" s="43">
        <f t="shared" si="13"/>
        <v>-846.7540407</v>
      </c>
      <c r="E54" s="43">
        <f t="shared" si="13"/>
        <v>-318.2288407</v>
      </c>
      <c r="F54" s="43">
        <f t="shared" si="13"/>
        <v>506.5494427</v>
      </c>
      <c r="G54" s="43">
        <f t="shared" si="13"/>
        <v>2424.019938</v>
      </c>
      <c r="H54" s="43">
        <f t="shared" ref="H54:I54" si="14">H51</f>
        <v>6223.180724</v>
      </c>
      <c r="I54" s="43">
        <f t="shared" si="14"/>
        <v>10922.73279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0" customHeight="1">
      <c r="A55" s="82" t="s">
        <v>203</v>
      </c>
      <c r="B55" s="30">
        <f>B54</f>
        <v>-1554</v>
      </c>
      <c r="C55" s="30">
        <f t="shared" ref="C55:I55" si="15">B55+C54</f>
        <v>-2790.550841</v>
      </c>
      <c r="D55" s="30">
        <f t="shared" si="15"/>
        <v>-3637.304881</v>
      </c>
      <c r="E55" s="30">
        <f t="shared" si="15"/>
        <v>-3955.533722</v>
      </c>
      <c r="F55" s="30">
        <f t="shared" si="15"/>
        <v>-3448.984279</v>
      </c>
      <c r="G55" s="30">
        <f t="shared" si="15"/>
        <v>-1024.964341</v>
      </c>
      <c r="H55" s="30">
        <f t="shared" si="15"/>
        <v>5198.216383</v>
      </c>
      <c r="I55" s="30">
        <f t="shared" si="15"/>
        <v>16120.94917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0" customHeight="1">
      <c r="A57" s="107" t="s">
        <v>204</v>
      </c>
      <c r="B57" s="4"/>
      <c r="C57" s="4"/>
      <c r="D57" s="4"/>
      <c r="E57" s="4"/>
      <c r="F57" s="4"/>
      <c r="G57" s="4"/>
      <c r="H57" s="4"/>
      <c r="I57" s="6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0" customHeight="1">
      <c r="A58" s="45" t="s">
        <v>205</v>
      </c>
      <c r="B58" s="90">
        <v>1.0</v>
      </c>
      <c r="C58" s="108">
        <f>1/(1+'1. Giả định &amp; Thông số'!$B$17)^1</f>
        <v>0.8747375787</v>
      </c>
      <c r="D58" s="108">
        <f>1/(1+'1. Giả định &amp; Thông số'!$B$17)^2</f>
        <v>0.7651658316</v>
      </c>
      <c r="E58" s="108">
        <f>1/(1+'1. Giả định &amp; Thông số'!$B$17)^3</f>
        <v>0.6693193069</v>
      </c>
      <c r="F58" s="108">
        <f>1/(1+'1. Giả định &amp; Thông số'!$B$17)^4</f>
        <v>0.5854787499</v>
      </c>
      <c r="G58" s="108">
        <f>1/(1+'1. Giả định &amp; Thông số'!$B$17)^5</f>
        <v>0.5121402641</v>
      </c>
      <c r="H58" s="108">
        <f>1/(1+'1. Giả định &amp; Thông số'!$B$17)^6</f>
        <v>0.4479883346</v>
      </c>
      <c r="I58" s="108">
        <f>1/(1+'1. Giả định &amp; Thông số'!$B$17)^7</f>
        <v>0.3918722311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0" customHeight="1">
      <c r="A59" s="109" t="s">
        <v>206</v>
      </c>
      <c r="B59" s="110">
        <f>B54</f>
        <v>-1554</v>
      </c>
      <c r="C59" s="110">
        <f t="shared" ref="C59:I59" si="16">C54*C58</f>
        <v>-1081.657488</v>
      </c>
      <c r="D59" s="110">
        <f t="shared" si="16"/>
        <v>-647.9072597</v>
      </c>
      <c r="E59" s="110">
        <f t="shared" si="16"/>
        <v>-212.9967071</v>
      </c>
      <c r="F59" s="110">
        <f t="shared" si="16"/>
        <v>296.5739345</v>
      </c>
      <c r="G59" s="110">
        <f t="shared" si="16"/>
        <v>1241.438211</v>
      </c>
      <c r="H59" s="110">
        <f t="shared" si="16"/>
        <v>2787.912368</v>
      </c>
      <c r="I59" s="110">
        <f t="shared" si="16"/>
        <v>4280.315667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0" customHeight="1">
      <c r="A61" s="111" t="s">
        <v>207</v>
      </c>
      <c r="B61" s="3"/>
      <c r="C61" s="3"/>
      <c r="D61" s="3"/>
      <c r="E61" s="3"/>
      <c r="F61" s="3"/>
      <c r="G61" s="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0.0" customHeight="1">
      <c r="A62" s="112" t="s">
        <v>208</v>
      </c>
      <c r="B62" s="113">
        <f>SUM(B59:I59)</f>
        <v>5109.678726</v>
      </c>
      <c r="C62" s="114" t="str">
        <f>IF(B62&gt;0," NPV &gt; 0 → Dự án khả thi","⚠ NPV &lt; 0 → Cần xem xét lại")</f>
        <v> NPV &gt; 0 → Dự án khả thi</v>
      </c>
      <c r="D62" s="19"/>
      <c r="E62" s="19"/>
      <c r="F62" s="19"/>
      <c r="G62" s="22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0" customHeight="1">
      <c r="A63" s="112" t="s">
        <v>209</v>
      </c>
      <c r="B63" s="115">
        <f>IFERROR(IRR(B54:I54,0.1),"N/A - check cash flows")</f>
        <v>0.3494964921</v>
      </c>
      <c r="C63" s="116" t="str">
        <f>IF(ISNUMBER(B63),IF(B63&gt;'1. Giả định &amp; Thông số'!$B$17," IRR &gt; WACC → Sinh lợi tốt","⚠ IRR &lt; WACC → Cần xem xét lại"),"N/A")</f>
        <v> IRR &gt; WACC → Sinh lợi tốt</v>
      </c>
      <c r="D63" s="19"/>
      <c r="E63" s="19"/>
      <c r="F63" s="19"/>
      <c r="G63" s="22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0" customHeight="1">
      <c r="A64" s="112" t="s">
        <v>210</v>
      </c>
      <c r="B64" s="117">
        <f>(B62+ABS(B54))/ABS(B54)</f>
        <v>4.288081549</v>
      </c>
      <c r="C64" s="118" t="s">
        <v>211</v>
      </c>
      <c r="D64" s="19"/>
      <c r="E64" s="19"/>
      <c r="F64" s="19"/>
      <c r="G64" s="22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0.0" customHeight="1">
      <c r="A65" s="112" t="s">
        <v>212</v>
      </c>
      <c r="B65" s="119">
        <f>ROUND(5+ABS(G55)/H54,2)</f>
        <v>5.16</v>
      </c>
      <c r="C65" s="118" t="s">
        <v>213</v>
      </c>
      <c r="D65" s="19"/>
      <c r="E65" s="19"/>
      <c r="F65" s="19"/>
      <c r="G65" s="22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0" customHeight="1">
      <c r="A66" s="112" t="s">
        <v>214</v>
      </c>
      <c r="B66" s="120">
        <f>'1. Giả định &amp; Thông số'!$B$17</f>
        <v>0.1432</v>
      </c>
      <c r="C66" s="121" t="s">
        <v>215</v>
      </c>
      <c r="D66" s="19"/>
      <c r="E66" s="19"/>
      <c r="F66" s="19"/>
      <c r="G66" s="22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14">
    <mergeCell ref="A57:I57"/>
    <mergeCell ref="A61:G61"/>
    <mergeCell ref="C62:G62"/>
    <mergeCell ref="C63:G63"/>
    <mergeCell ref="C64:G64"/>
    <mergeCell ref="C65:G65"/>
    <mergeCell ref="C66:G66"/>
    <mergeCell ref="A1:I1"/>
    <mergeCell ref="A2:G2"/>
    <mergeCell ref="A4:I4"/>
    <mergeCell ref="A17:I17"/>
    <mergeCell ref="A38:I38"/>
    <mergeCell ref="A42:I42"/>
    <mergeCell ref="A50:I5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0.0"/>
    <col customWidth="1" min="2" max="9" width="15.0"/>
    <col customWidth="1" min="10" max="26" width="8.57"/>
  </cols>
  <sheetData>
    <row r="1" ht="36.0" customHeight="1">
      <c r="A1" s="2" t="s">
        <v>2</v>
      </c>
      <c r="B1" s="4"/>
      <c r="C1" s="4"/>
      <c r="D1" s="4"/>
      <c r="E1" s="4"/>
      <c r="F1" s="4"/>
      <c r="G1" s="4"/>
      <c r="H1" s="4"/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1.5" customHeight="1">
      <c r="A2" s="12" t="s">
        <v>5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15</v>
      </c>
      <c r="G2" s="12" t="s">
        <v>16</v>
      </c>
      <c r="H2" s="12" t="s">
        <v>17</v>
      </c>
      <c r="I2" s="12" t="s">
        <v>18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7" t="s">
        <v>19</v>
      </c>
      <c r="B3" s="19"/>
      <c r="C3" s="19"/>
      <c r="D3" s="19"/>
      <c r="E3" s="19"/>
      <c r="F3" s="19"/>
      <c r="G3" s="19"/>
      <c r="H3" s="19"/>
      <c r="I3" s="22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25" t="s">
        <v>30</v>
      </c>
      <c r="B4" s="26" t="s">
        <v>26</v>
      </c>
      <c r="C4" s="28">
        <f>'1. Giả định &amp; Thông số'!$B$21*'1. Giả định &amp; Thông số'!$I$21*12*(1+'1. Giả định &amp; Thông số'!$B$27)^0</f>
        <v>168</v>
      </c>
      <c r="D4" s="28">
        <f>'1. Giả định &amp; Thông số'!$C$21*'1. Giả định &amp; Thông số'!$I$21*12*(1+'1. Giả định &amp; Thông số'!$B$27)^1</f>
        <v>176.4</v>
      </c>
      <c r="E4" s="28">
        <f>'1. Giả định &amp; Thông số'!$D$21*'1. Giả định &amp; Thông số'!$I$21*12*(1+'1. Giả định &amp; Thông số'!$B$27)^2</f>
        <v>185.22</v>
      </c>
      <c r="F4" s="28">
        <f>'1. Giả định &amp; Thông số'!$E$21*'1. Giả định &amp; Thông số'!$I$21*12*(1+'1. Giả định &amp; Thông số'!$B$27)^3</f>
        <v>388.962</v>
      </c>
      <c r="G4" s="28">
        <f>'1. Giả định &amp; Thông số'!$F$21*'1. Giả định &amp; Thông số'!$I$21*12*(1+'1. Giả định &amp; Thông số'!$B$27)^4</f>
        <v>408.4101</v>
      </c>
      <c r="H4" s="28">
        <f>'1. Giả định &amp; Thông số'!$G$21*'1. Giả định &amp; Thông số'!$I$21*12*(1+'1. Giả định &amp; Thông số'!$B$27)^6</f>
        <v>450.2721353</v>
      </c>
      <c r="I4" s="28">
        <f>'1. Giả định &amp; Thông số'!$H$21*'1. Giả định &amp; Thông số'!$I$21*12*(1+'1. Giả định &amp; Thông số'!$B$27)^7</f>
        <v>472.785742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25" t="s">
        <v>56</v>
      </c>
      <c r="B5" s="26" t="s">
        <v>26</v>
      </c>
      <c r="C5" s="28">
        <f>'1. Giả định &amp; Thông số'!$B$22*'1. Giả định &amp; Thông số'!$I$22*12*(1+'1. Giả định &amp; Thông số'!$B$27)^0</f>
        <v>240</v>
      </c>
      <c r="D5" s="28">
        <f>'1. Giả định &amp; Thông số'!$C$22*'1. Giả định &amp; Thông số'!$I$22*12*(1+'1. Giả định &amp; Thông số'!$B$27)^1</f>
        <v>252</v>
      </c>
      <c r="E5" s="28">
        <f>'1. Giả định &amp; Thông số'!$D$22*'1. Giả định &amp; Thông số'!$I$22*12*(1+'1. Giả định &amp; Thông số'!$B$27)^2</f>
        <v>396.9</v>
      </c>
      <c r="F5" s="28">
        <f>'1. Giả định &amp; Thông số'!$E$22*'1. Giả định &amp; Thông số'!$I$22*12*(1+'1. Giả định &amp; Thông số'!$B$27)^3</f>
        <v>555.66</v>
      </c>
      <c r="G5" s="28">
        <f>'1. Giả định &amp; Thông số'!$F$22*'1. Giả định &amp; Thông số'!$I$22*12*(1+'1. Giả định &amp; Thông số'!$B$27)^4</f>
        <v>583.443</v>
      </c>
      <c r="H5" s="28">
        <f>'1. Giả định &amp; Thông số'!$G$22*'1. Giả định &amp; Thông số'!$I$22*12*(1+'1. Giả định &amp; Thông số'!$B$27)^6</f>
        <v>643.2459075</v>
      </c>
      <c r="I5" s="28">
        <f>'1. Giả định &amp; Thông số'!$H$22*'1. Giả định &amp; Thông số'!$I$22*12*(1+'1. Giả định &amp; Thông số'!$B$27)^7</f>
        <v>675.4082029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25" t="s">
        <v>91</v>
      </c>
      <c r="B6" s="26" t="s">
        <v>26</v>
      </c>
      <c r="C6" s="28">
        <f>'1. Giả định &amp; Thông số'!$B$23*'1. Giả định &amp; Thông số'!$I$23*12*(1+'1. Giả định &amp; Thông số'!$B$27)^0</f>
        <v>96</v>
      </c>
      <c r="D6" s="28">
        <f>'1. Giả định &amp; Thông số'!$C$23*'1. Giả định &amp; Thông số'!$I$23*12*(1+'1. Giả định &amp; Thông số'!$B$27)^1</f>
        <v>100.8</v>
      </c>
      <c r="E6" s="28">
        <f>'1. Giả định &amp; Thông số'!$D$23*'1. Giả định &amp; Thông số'!$I$23*12*(1+'1. Giả định &amp; Thông số'!$B$27)^2</f>
        <v>211.68</v>
      </c>
      <c r="F6" s="28">
        <f>'1. Giả định &amp; Thông số'!$E$23*'1. Giả định &amp; Thông số'!$I$23*12*(1+'1. Giả định &amp; Thông số'!$B$27)^3</f>
        <v>222.264</v>
      </c>
      <c r="G6" s="28">
        <f>'1. Giả định &amp; Thông số'!$F$23*'1. Giả định &amp; Thông số'!$I$23*12*(1+'1. Giả định &amp; Thông số'!$B$27)^4</f>
        <v>233.3772</v>
      </c>
      <c r="H6" s="28">
        <f>'1. Giả định &amp; Thông số'!$G$23*'1. Giả định &amp; Thông số'!$I$23*12*(1+'1. Giả định &amp; Thông số'!$B$27)^6</f>
        <v>257.298363</v>
      </c>
      <c r="I6" s="28">
        <f>'1. Giả định &amp; Thông số'!$H$23*'1. Giả định &amp; Thông số'!$I$23*12*(1+'1. Giả định &amp; Thông số'!$B$27)^7</f>
        <v>270.1632812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25" t="s">
        <v>114</v>
      </c>
      <c r="B7" s="26" t="s">
        <v>26</v>
      </c>
      <c r="C7" s="28">
        <f>'1. Giả định &amp; Thông số'!$B$24*'1. Giả định &amp; Thông số'!$I$24*12*(1+'1. Giả định &amp; Thông số'!$B$27)^0</f>
        <v>72</v>
      </c>
      <c r="D7" s="28">
        <f>'1. Giả định &amp; Thông số'!$C$24*'1. Giả định &amp; Thông số'!$I$24*12*(1+'1. Giả định &amp; Thông số'!$B$27)^1</f>
        <v>75.6</v>
      </c>
      <c r="E7" s="28">
        <f>'1. Giả định &amp; Thông số'!$D$24*'1. Giả định &amp; Thông số'!$I$24*12*(1+'1. Giả định &amp; Thông số'!$B$27)^2</f>
        <v>158.76</v>
      </c>
      <c r="F7" s="28">
        <f>'1. Giả định &amp; Thông số'!$E$24*'1. Giả định &amp; Thông số'!$I$24*12*(1+'1. Giả định &amp; Thông số'!$B$27)^3</f>
        <v>166.698</v>
      </c>
      <c r="G7" s="28">
        <f>'1. Giả định &amp; Thông số'!$F$24*'1. Giả định &amp; Thông số'!$I$24*12*(1+'1. Giả định &amp; Thông số'!$B$27)^4</f>
        <v>262.54935</v>
      </c>
      <c r="H7" s="28">
        <f>'1. Giả định &amp; Thông số'!$G$24*'1. Giả định &amp; Thông số'!$I$24*12*(1+'1. Giả định &amp; Thông số'!$B$27)^6</f>
        <v>289.4606584</v>
      </c>
      <c r="I7" s="28">
        <f>'1. Giả định &amp; Thông số'!$H$24*'1. Giả định &amp; Thông số'!$I$24*12*(1+'1. Giả định &amp; Thông số'!$B$27)^7</f>
        <v>303.9336913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25" t="s">
        <v>94</v>
      </c>
      <c r="B8" s="26" t="s">
        <v>26</v>
      </c>
      <c r="C8" s="28">
        <f>'1. Giả định &amp; Thông số'!$B$25*'1. Giả định &amp; Thông số'!$I$25*12*(1+'1. Giả định &amp; Thông số'!$B$27)^0</f>
        <v>84</v>
      </c>
      <c r="D8" s="28">
        <f>'1. Giả định &amp; Thông số'!$C$25*'1. Giả định &amp; Thông số'!$I$25*12*(1+'1. Giả định &amp; Thông số'!$B$27)^1</f>
        <v>88.2</v>
      </c>
      <c r="E8" s="28">
        <f>'1. Giả định &amp; Thông số'!$D$25*'1. Giả định &amp; Thông số'!$I$25*12*(1+'1. Giả định &amp; Thông số'!$B$27)^2</f>
        <v>92.61</v>
      </c>
      <c r="F8" s="28">
        <f>'1. Giả định &amp; Thông số'!$E$25*'1. Giả định &amp; Thông số'!$I$25*12*(1+'1. Giả định &amp; Thông số'!$B$27)^3</f>
        <v>194.481</v>
      </c>
      <c r="G8" s="28">
        <f>'1. Giả định &amp; Thông số'!$F$25*'1. Giả định &amp; Thông số'!$I$25*12*(1+'1. Giả định &amp; Thông số'!$B$27)^4</f>
        <v>204.20505</v>
      </c>
      <c r="H8" s="28">
        <f>'1. Giả định &amp; Thông số'!$G$25*'1. Giả định &amp; Thông số'!$I$25*12*(1+'1. Giả định &amp; Thông số'!$B$27)^6</f>
        <v>337.7041014</v>
      </c>
      <c r="I8" s="28">
        <f>'1. Giả định &amp; Thông số'!$H$25*'1. Giả định &amp; Thông số'!$I$25*12*(1+'1. Giả định &amp; Thông số'!$B$27)^7</f>
        <v>354.5893065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25" t="s">
        <v>158</v>
      </c>
      <c r="B9" s="26" t="s">
        <v>26</v>
      </c>
      <c r="C9" s="28">
        <f>'1. Giả định &amp; Thông số'!$B$26*'1. Giả định &amp; Thông số'!$I$26*12*(1+'1. Giả định &amp; Thông số'!$B$27)^0</f>
        <v>60</v>
      </c>
      <c r="D9" s="28">
        <f>'1. Giả định &amp; Thông số'!$C$26*'1. Giả định &amp; Thông số'!$I$26*12*(1+'1. Giả định &amp; Thông số'!$B$27)^1</f>
        <v>126</v>
      </c>
      <c r="E9" s="28">
        <f>'1. Giả định &amp; Thông số'!$D$26*'1. Giả định &amp; Thông số'!$I$26*12*(1+'1. Giả định &amp; Thông số'!$B$27)^2</f>
        <v>132.3</v>
      </c>
      <c r="F9" s="28">
        <f>'1. Giả định &amp; Thông số'!$E$26*'1. Giả định &amp; Thông số'!$I$26*12*(1+'1. Giả định &amp; Thông số'!$B$27)^3</f>
        <v>138.915</v>
      </c>
      <c r="G9" s="28">
        <f>'1. Giả định &amp; Thông số'!$F$26*'1. Giả định &amp; Thông số'!$I$26*12*(1+'1. Giả định &amp; Thông số'!$B$27)^4</f>
        <v>145.86075</v>
      </c>
      <c r="H9" s="28">
        <f>'1. Giả định &amp; Thông số'!$G$26*'1. Giả định &amp; Thông số'!$I$26*12*(1+'1. Giả định &amp; Thông số'!$B$27)^6</f>
        <v>241.2172153</v>
      </c>
      <c r="I9" s="28">
        <f>'1. Giả định &amp; Thông số'!$H$26*'1. Giả định &amp; Thông số'!$I$26*12*(1+'1. Giả định &amp; Thông số'!$B$27)^7</f>
        <v>253.2780761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48" t="s">
        <v>161</v>
      </c>
      <c r="B10" s="51" t="s">
        <v>26</v>
      </c>
      <c r="C10" s="51">
        <f t="shared" ref="C10:I10" si="1">SUM(C4:C9)</f>
        <v>720</v>
      </c>
      <c r="D10" s="51">
        <f t="shared" si="1"/>
        <v>819</v>
      </c>
      <c r="E10" s="51">
        <f t="shared" si="1"/>
        <v>1177.47</v>
      </c>
      <c r="F10" s="51">
        <f t="shared" si="1"/>
        <v>1666.98</v>
      </c>
      <c r="G10" s="51">
        <f t="shared" si="1"/>
        <v>1837.84545</v>
      </c>
      <c r="H10" s="51">
        <f t="shared" si="1"/>
        <v>2219.198381</v>
      </c>
      <c r="I10" s="51">
        <f t="shared" si="1"/>
        <v>2330.1583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6.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75" customHeight="1">
      <c r="A12" s="75" t="s">
        <v>163</v>
      </c>
      <c r="B12" s="4"/>
      <c r="C12" s="4"/>
      <c r="D12" s="4"/>
      <c r="E12" s="4"/>
      <c r="F12" s="4"/>
      <c r="G12" s="4"/>
      <c r="H12" s="4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24" t="s">
        <v>164</v>
      </c>
      <c r="B13" s="28" t="s">
        <v>26</v>
      </c>
      <c r="C13" s="28">
        <f>'1. Giả định &amp; Thông số'!$B$42*'1. Giả định &amp; Thông số'!$B$5</f>
        <v>270</v>
      </c>
      <c r="D13" s="28">
        <f>'1. Giả định &amp; Thông số'!$B$42*'1. Giả định &amp; Thông số'!$B$5</f>
        <v>270</v>
      </c>
      <c r="E13" s="28">
        <f>'1. Giả định &amp; Thông số'!$B$42*'1. Giả định &amp; Thông số'!$B$5</f>
        <v>270</v>
      </c>
      <c r="F13" s="28">
        <f>'1. Giả định &amp; Thông số'!$B$42*'1. Giả định &amp; Thông số'!$B$5</f>
        <v>270</v>
      </c>
      <c r="G13" s="28">
        <f>'1. Giả định &amp; Thông số'!$B$42*'1. Giả định &amp; Thông số'!$B$5</f>
        <v>270</v>
      </c>
      <c r="H13" s="28">
        <f>'1. Giả định &amp; Thông số'!$B$42*'1. Giả định &amp; Thông số'!$B$5</f>
        <v>270</v>
      </c>
      <c r="I13" s="28">
        <f>'1. Giả định &amp; Thông số'!$B$42*'1. Giả định &amp; Thông số'!$B$5</f>
        <v>270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8.5" customHeight="1">
      <c r="A14" s="24" t="s">
        <v>168</v>
      </c>
      <c r="B14" s="77" t="s">
        <v>26</v>
      </c>
      <c r="C14" s="77">
        <f>'1. Giả định &amp; Thông số'!$B$39*'2. Báo cáo Ngân lưu'!C15</f>
        <v>88.8</v>
      </c>
      <c r="D14" s="77">
        <f>'1. Giả định &amp; Thông số'!$B$39*'2. Báo cáo Ngân lưu'!D15</f>
        <v>210.384</v>
      </c>
      <c r="E14" s="77">
        <f>'1. Giả định &amp; Thông số'!$B$39*'2. Báo cáo Ngân lưu'!E15</f>
        <v>438.48</v>
      </c>
      <c r="F14" s="77">
        <f>'1. Giả định &amp; Thông số'!$B$39*'2. Báo cáo Ngân lưu'!F15</f>
        <v>817.2</v>
      </c>
      <c r="G14" s="77">
        <f>'1. Giả định &amp; Thông số'!$B$39*'2. Báo cáo Ngân lưu'!G15</f>
        <v>1488</v>
      </c>
      <c r="H14" s="77">
        <f>'1. Giả định &amp; Thông số'!$B$39*'2. Báo cáo Ngân lưu'!H15</f>
        <v>2743.8</v>
      </c>
      <c r="I14" s="77">
        <f>'1. Giả định &amp; Thông số'!$B$39*'2. Báo cáo Ngân lưu'!I15</f>
        <v>4210.8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48" t="s">
        <v>172</v>
      </c>
      <c r="B15" s="51" t="s">
        <v>26</v>
      </c>
      <c r="C15" s="51">
        <f t="shared" ref="C15:I15" si="2">C13+C14</f>
        <v>358.8</v>
      </c>
      <c r="D15" s="51">
        <f t="shared" si="2"/>
        <v>480.384</v>
      </c>
      <c r="E15" s="51">
        <f t="shared" si="2"/>
        <v>708.48</v>
      </c>
      <c r="F15" s="51">
        <f t="shared" si="2"/>
        <v>1087.2</v>
      </c>
      <c r="G15" s="51">
        <f t="shared" si="2"/>
        <v>1758</v>
      </c>
      <c r="H15" s="51">
        <f t="shared" si="2"/>
        <v>3013.8</v>
      </c>
      <c r="I15" s="51">
        <f t="shared" si="2"/>
        <v>4480.8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6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75" t="s">
        <v>176</v>
      </c>
      <c r="B17" s="4"/>
      <c r="C17" s="4"/>
      <c r="D17" s="4"/>
      <c r="E17" s="4"/>
      <c r="F17" s="4"/>
      <c r="G17" s="4"/>
      <c r="H17" s="4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24" t="s">
        <v>179</v>
      </c>
      <c r="B18" s="77" t="s">
        <v>26</v>
      </c>
      <c r="C18" s="77">
        <f>'1. Giả định &amp; Thông số'!$B$40*'2. Báo cáo Ngân lưu'!C15</f>
        <v>71.04</v>
      </c>
      <c r="D18" s="77">
        <f>'1. Giả định &amp; Thông số'!$B$40*'2. Báo cáo Ngân lưu'!D15</f>
        <v>168.3072</v>
      </c>
      <c r="E18" s="77">
        <f>'1. Giả định &amp; Thông số'!$B$40*'2. Báo cáo Ngân lưu'!E15</f>
        <v>350.784</v>
      </c>
      <c r="F18" s="77">
        <f>'1. Giả định &amp; Thông số'!$B$40*'2. Báo cáo Ngân lưu'!F15</f>
        <v>653.76</v>
      </c>
      <c r="G18" s="77">
        <f>'1. Giả định &amp; Thông số'!$B$40*'2. Báo cáo Ngân lưu'!G15</f>
        <v>1190.4</v>
      </c>
      <c r="H18" s="77">
        <f>'1. Giả định &amp; Thông số'!$B$40*'2. Báo cáo Ngân lưu'!H15</f>
        <v>2195.04</v>
      </c>
      <c r="I18" s="77">
        <f>'1. Giả định &amp; Thông số'!$B$40*'2. Báo cáo Ngân lưu'!I15</f>
        <v>3368.64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24" t="s">
        <v>182</v>
      </c>
      <c r="B19" s="77" t="s">
        <v>26</v>
      </c>
      <c r="C19" s="77">
        <f>'1. Giả định &amp; Thông số'!$B$41*'2. Báo cáo Ngân lưu'!C15</f>
        <v>59.2</v>
      </c>
      <c r="D19" s="77">
        <f>'1. Giả định &amp; Thông số'!$B$41*'2. Báo cáo Ngân lưu'!D15</f>
        <v>140.256</v>
      </c>
      <c r="E19" s="77">
        <f>'1. Giả định &amp; Thông số'!$B$41*'2. Báo cáo Ngân lưu'!E15</f>
        <v>292.32</v>
      </c>
      <c r="F19" s="77">
        <f>'1. Giả định &amp; Thông số'!$B$41*'2. Báo cáo Ngân lưu'!F15</f>
        <v>544.8</v>
      </c>
      <c r="G19" s="77">
        <f>'1. Giả định &amp; Thông số'!$B$41*'2. Báo cáo Ngân lưu'!G15</f>
        <v>992</v>
      </c>
      <c r="H19" s="77">
        <f>'1. Giả định &amp; Thông số'!$B$41*'2. Báo cáo Ngân lưu'!H15</f>
        <v>1829.2</v>
      </c>
      <c r="I19" s="77">
        <f>'1. Giả định &amp; Thông số'!$B$41*'2. Báo cáo Ngân lưu'!I15</f>
        <v>2807.2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48" t="s">
        <v>187</v>
      </c>
      <c r="B20" s="51" t="s">
        <v>26</v>
      </c>
      <c r="C20" s="51">
        <f t="shared" ref="C20:I20" si="3">C18+C19</f>
        <v>130.24</v>
      </c>
      <c r="D20" s="51">
        <f t="shared" si="3"/>
        <v>308.5632</v>
      </c>
      <c r="E20" s="51">
        <f t="shared" si="3"/>
        <v>643.104</v>
      </c>
      <c r="F20" s="51">
        <f t="shared" si="3"/>
        <v>1198.56</v>
      </c>
      <c r="G20" s="51">
        <f t="shared" si="3"/>
        <v>2182.4</v>
      </c>
      <c r="H20" s="51">
        <f t="shared" si="3"/>
        <v>4024.24</v>
      </c>
      <c r="I20" s="51">
        <f t="shared" si="3"/>
        <v>6175.84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6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75" t="s">
        <v>189</v>
      </c>
      <c r="B22" s="4"/>
      <c r="C22" s="4"/>
      <c r="D22" s="4"/>
      <c r="E22" s="4"/>
      <c r="F22" s="4"/>
      <c r="G22" s="4"/>
      <c r="H22" s="4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7.75" customHeight="1">
      <c r="A23" s="24" t="s">
        <v>191</v>
      </c>
      <c r="B23" s="96" t="s">
        <v>26</v>
      </c>
      <c r="C23" s="77">
        <f>'1. Giả định &amp; Thông số'!$B$43</f>
        <v>240</v>
      </c>
      <c r="D23" s="77">
        <f>'1. Giả định &amp; Thông số'!$B$43</f>
        <v>240</v>
      </c>
      <c r="E23" s="77">
        <f>'1. Giả định &amp; Thông số'!$B$43</f>
        <v>240</v>
      </c>
      <c r="F23" s="77">
        <f>'1. Giả định &amp; Thông số'!$B$43</f>
        <v>240</v>
      </c>
      <c r="G23" s="77">
        <f>'1. Giả định &amp; Thông số'!$B$43</f>
        <v>240</v>
      </c>
      <c r="H23" s="77">
        <f>'1. Giả định &amp; Thông số'!$B$43</f>
        <v>240</v>
      </c>
      <c r="I23" s="77">
        <f>'1. Giả định &amp; Thông số'!$B$43</f>
        <v>240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24" t="s">
        <v>194</v>
      </c>
      <c r="B24" s="96" t="s">
        <v>26</v>
      </c>
      <c r="C24" s="77">
        <f>'1. Giả định &amp; Thông số'!$B$44</f>
        <v>40</v>
      </c>
      <c r="D24" s="77">
        <f>'1. Giả định &amp; Thông số'!$B$44</f>
        <v>40</v>
      </c>
      <c r="E24" s="77">
        <f>'1. Giả định &amp; Thông số'!$B$44</f>
        <v>40</v>
      </c>
      <c r="F24" s="77">
        <f>'1. Giả định &amp; Thông số'!$B$44</f>
        <v>40</v>
      </c>
      <c r="G24" s="77">
        <f>'1. Giả định &amp; Thông số'!$B$44</f>
        <v>40</v>
      </c>
      <c r="H24" s="77">
        <f>'1. Giả định &amp; Thông số'!$B$44</f>
        <v>40</v>
      </c>
      <c r="I24" s="77">
        <f>'1. Giả định &amp; Thông số'!$B$44</f>
        <v>40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48" t="s">
        <v>196</v>
      </c>
      <c r="B25" s="101" t="s">
        <v>26</v>
      </c>
      <c r="C25" s="51">
        <f t="shared" ref="C25:I25" si="4">C23+C24</f>
        <v>280</v>
      </c>
      <c r="D25" s="51">
        <f t="shared" si="4"/>
        <v>280</v>
      </c>
      <c r="E25" s="51">
        <f t="shared" si="4"/>
        <v>280</v>
      </c>
      <c r="F25" s="51">
        <f t="shared" si="4"/>
        <v>280</v>
      </c>
      <c r="G25" s="51">
        <f t="shared" si="4"/>
        <v>280</v>
      </c>
      <c r="H25" s="51">
        <f t="shared" si="4"/>
        <v>280</v>
      </c>
      <c r="I25" s="51">
        <f t="shared" si="4"/>
        <v>280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6.0" customHeight="1">
      <c r="A26" s="10"/>
      <c r="B26" s="10"/>
      <c r="C26" s="102"/>
      <c r="D26" s="102"/>
      <c r="E26" s="102"/>
      <c r="F26" s="102"/>
      <c r="G26" s="102"/>
      <c r="H26" s="102"/>
      <c r="I26" s="102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3" t="s">
        <v>197</v>
      </c>
      <c r="B27" s="104" t="s">
        <v>26</v>
      </c>
      <c r="C27" s="106">
        <f t="shared" ref="C27:I27" si="5">C10+C15+C20+C25</f>
        <v>1489.04</v>
      </c>
      <c r="D27" s="106">
        <f t="shared" si="5"/>
        <v>1887.9472</v>
      </c>
      <c r="E27" s="106">
        <f t="shared" si="5"/>
        <v>2809.054</v>
      </c>
      <c r="F27" s="106">
        <f t="shared" si="5"/>
        <v>4232.74</v>
      </c>
      <c r="G27" s="106">
        <f t="shared" si="5"/>
        <v>6058.24545</v>
      </c>
      <c r="H27" s="106">
        <f t="shared" si="5"/>
        <v>9537.238381</v>
      </c>
      <c r="I27" s="106">
        <f t="shared" si="5"/>
        <v>13266.7983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I1"/>
    <mergeCell ref="A3:I3"/>
    <mergeCell ref="A12:I12"/>
    <mergeCell ref="A17:I17"/>
    <mergeCell ref="A22:I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6.0"/>
    <col customWidth="1" min="2" max="9" width="16.0"/>
  </cols>
  <sheetData>
    <row r="1" ht="36.0" customHeight="1">
      <c r="A1" s="2" t="s">
        <v>3</v>
      </c>
      <c r="B1" s="4"/>
      <c r="C1" s="4"/>
      <c r="D1" s="4"/>
      <c r="E1" s="4"/>
      <c r="F1" s="4"/>
      <c r="G1" s="4"/>
      <c r="H1" s="4"/>
      <c r="I1" s="6"/>
    </row>
    <row r="2" ht="31.5" customHeight="1">
      <c r="A2" s="12" t="s">
        <v>5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15</v>
      </c>
      <c r="G2" s="12" t="s">
        <v>16</v>
      </c>
      <c r="H2" s="12" t="s">
        <v>17</v>
      </c>
      <c r="I2" s="12" t="s">
        <v>18</v>
      </c>
    </row>
    <row r="3" ht="15.0" customHeight="1">
      <c r="A3" s="18" t="s">
        <v>22</v>
      </c>
    </row>
    <row r="4" ht="18.0" customHeight="1">
      <c r="A4" s="21" t="s">
        <v>25</v>
      </c>
      <c r="B4" s="23" t="s">
        <v>26</v>
      </c>
      <c r="C4" s="27">
        <f>'1. Giả định &amp; Thông số'!$B$12</f>
        <v>1036</v>
      </c>
      <c r="D4" s="30">
        <f t="shared" ref="D4:G4" si="1">C8</f>
        <v>869.6491593</v>
      </c>
      <c r="E4" s="30">
        <f t="shared" si="1"/>
        <v>684.9997262</v>
      </c>
      <c r="F4" s="30">
        <f t="shared" si="1"/>
        <v>480.0388554</v>
      </c>
      <c r="G4" s="30">
        <f t="shared" si="1"/>
        <v>252.5322889</v>
      </c>
      <c r="H4" s="30">
        <v>0.0</v>
      </c>
      <c r="I4" s="30">
        <v>0.0</v>
      </c>
    </row>
    <row r="5" ht="18.0" customHeight="1">
      <c r="A5" s="32" t="s">
        <v>36</v>
      </c>
      <c r="B5" s="34" t="s">
        <v>26</v>
      </c>
      <c r="C5" s="36">
        <f>C4*'1. Giả định &amp; Thông số'!$B$14</f>
        <v>113.96</v>
      </c>
      <c r="D5" s="36">
        <f>D4*'1. Giả định &amp; Thông số'!$B$14</f>
        <v>95.66140753</v>
      </c>
      <c r="E5" s="36">
        <f>E4*'1. Giả định &amp; Thông số'!$B$14</f>
        <v>75.34996988</v>
      </c>
      <c r="F5" s="36">
        <f>F4*'1. Giả định &amp; Thông số'!$B$14</f>
        <v>52.8042741</v>
      </c>
      <c r="G5" s="36">
        <f>G4*'1. Giả định &amp; Thông số'!$B$14</f>
        <v>27.77855178</v>
      </c>
      <c r="H5" s="36">
        <v>0.0</v>
      </c>
      <c r="I5" s="36">
        <v>0.0</v>
      </c>
    </row>
    <row r="6" ht="18.0" customHeight="1">
      <c r="A6" s="32" t="s">
        <v>47</v>
      </c>
      <c r="B6" s="34" t="s">
        <v>26</v>
      </c>
      <c r="C6" s="36">
        <f t="shared" ref="C6:G6" si="2">C7-C5</f>
        <v>166.3508407</v>
      </c>
      <c r="D6" s="36">
        <f t="shared" si="2"/>
        <v>184.6494331</v>
      </c>
      <c r="E6" s="36">
        <f t="shared" si="2"/>
        <v>204.9608708</v>
      </c>
      <c r="F6" s="36">
        <f t="shared" si="2"/>
        <v>227.5065666</v>
      </c>
      <c r="G6" s="36">
        <f t="shared" si="2"/>
        <v>252.5322889</v>
      </c>
      <c r="H6" s="36">
        <v>0.0</v>
      </c>
      <c r="I6" s="36">
        <v>0.0</v>
      </c>
    </row>
    <row r="7" ht="18.0" customHeight="1">
      <c r="A7" s="39" t="s">
        <v>52</v>
      </c>
      <c r="B7" s="41" t="s">
        <v>26</v>
      </c>
      <c r="C7" s="43">
        <f>'1. Giả định &amp; Thông số'!$B$12*'1. Giả định &amp; Thông số'!$B$14/(1-(1+'1. Giả định &amp; Thông số'!$B$14)^(-'1. Giả định &amp; Thông số'!$B$18))</f>
        <v>280.3108407</v>
      </c>
      <c r="D7" s="43">
        <f>'1. Giả định &amp; Thông số'!$B$12*'1. Giả định &amp; Thông số'!$B$14/(1-(1+'1. Giả định &amp; Thông số'!$B$14)^(-'1. Giả định &amp; Thông số'!$B$18))</f>
        <v>280.3108407</v>
      </c>
      <c r="E7" s="43">
        <f>'1. Giả định &amp; Thông số'!$B$12*'1. Giả định &amp; Thông số'!$B$14/(1-(1+'1. Giả định &amp; Thông số'!$B$14)^(-'1. Giả định &amp; Thông số'!$B$18))</f>
        <v>280.3108407</v>
      </c>
      <c r="F7" s="43">
        <f>'1. Giả định &amp; Thông số'!$B$12*'1. Giả định &amp; Thông số'!$B$14/(1-(1+'1. Giả định &amp; Thông số'!$B$14)^(-'1. Giả định &amp; Thông số'!$B$18))</f>
        <v>280.3108407</v>
      </c>
      <c r="G7" s="43">
        <f>'1. Giả định &amp; Thông số'!$B$12*'1. Giả định &amp; Thông số'!$B$14/(1-(1+'1. Giả định &amp; Thông số'!$B$14)^(-'1. Giả định &amp; Thông số'!$B$18))</f>
        <v>280.3108407</v>
      </c>
      <c r="H7" s="43">
        <v>0.0</v>
      </c>
      <c r="I7" s="43">
        <v>0.0</v>
      </c>
    </row>
    <row r="8" ht="18.0" customHeight="1">
      <c r="A8" s="21" t="s">
        <v>61</v>
      </c>
      <c r="B8" s="27">
        <f>'1. Giả định &amp; Thông số'!$B$12</f>
        <v>1036</v>
      </c>
      <c r="C8" s="30">
        <f t="shared" ref="C8:G8" si="3">C4-C6</f>
        <v>869.6491593</v>
      </c>
      <c r="D8" s="30">
        <f t="shared" si="3"/>
        <v>684.9997262</v>
      </c>
      <c r="E8" s="30">
        <f t="shared" si="3"/>
        <v>480.0388554</v>
      </c>
      <c r="F8" s="30">
        <f t="shared" si="3"/>
        <v>252.5322889</v>
      </c>
      <c r="G8" s="30">
        <f t="shared" si="3"/>
        <v>0</v>
      </c>
      <c r="H8" s="30">
        <v>0.0</v>
      </c>
      <c r="I8" s="30">
        <v>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3:G3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4.0"/>
    <col customWidth="1" min="2" max="9" width="15.0"/>
  </cols>
  <sheetData>
    <row r="1" ht="36.0" customHeight="1">
      <c r="A1" s="2" t="s">
        <v>165</v>
      </c>
      <c r="B1" s="4"/>
      <c r="C1" s="4"/>
      <c r="D1" s="4"/>
      <c r="E1" s="4"/>
      <c r="F1" s="4"/>
      <c r="G1" s="4"/>
      <c r="H1" s="4"/>
      <c r="I1" s="6"/>
    </row>
    <row r="2" ht="31.5" customHeight="1">
      <c r="A2" s="12" t="s">
        <v>5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15</v>
      </c>
      <c r="G2" s="12" t="s">
        <v>16</v>
      </c>
      <c r="H2" s="12" t="s">
        <v>17</v>
      </c>
      <c r="I2" s="12" t="s">
        <v>18</v>
      </c>
    </row>
    <row r="3" ht="18.0" customHeight="1">
      <c r="A3" s="48" t="s">
        <v>167</v>
      </c>
      <c r="B3" s="49" t="s">
        <v>26</v>
      </c>
      <c r="C3" s="76">
        <f>'2. Báo cáo Ngân lưu'!C15</f>
        <v>592</v>
      </c>
      <c r="D3" s="76">
        <f>'2. Báo cáo Ngân lưu'!D15</f>
        <v>1402.56</v>
      </c>
      <c r="E3" s="76">
        <f>'2. Báo cáo Ngân lưu'!E15</f>
        <v>2923.2</v>
      </c>
      <c r="F3" s="76">
        <f>'2. Báo cáo Ngân lưu'!F15</f>
        <v>5448</v>
      </c>
      <c r="G3" s="76">
        <f>'2. Báo cáo Ngân lưu'!G15</f>
        <v>9920</v>
      </c>
      <c r="H3" s="76">
        <f>'2. Báo cáo Ngân lưu'!H15</f>
        <v>18292</v>
      </c>
      <c r="I3" s="76">
        <f>'2. Báo cáo Ngân lưu'!I15</f>
        <v>28072</v>
      </c>
    </row>
    <row r="4" ht="18.0" customHeight="1">
      <c r="A4" s="24" t="s">
        <v>170</v>
      </c>
      <c r="B4" s="26" t="s">
        <v>26</v>
      </c>
      <c r="C4" s="77">
        <f>'2. Báo cáo Ngân lưu'!C5</f>
        <v>480</v>
      </c>
      <c r="D4" s="77">
        <f>'2. Báo cáo Ngân lưu'!D5</f>
        <v>1080</v>
      </c>
      <c r="E4" s="77">
        <f>'2. Báo cáo Ngân lưu'!E5</f>
        <v>2100</v>
      </c>
      <c r="F4" s="77">
        <f>'2. Báo cáo Ngân lưu'!F5</f>
        <v>3600</v>
      </c>
      <c r="G4" s="77">
        <f>'2. Báo cáo Ngân lưu'!G5</f>
        <v>6000</v>
      </c>
      <c r="H4" s="77">
        <f>'2. Báo cáo Ngân lưu'!H5</f>
        <v>10200</v>
      </c>
      <c r="I4" s="77">
        <f>'2. Báo cáo Ngân lưu'!I5</f>
        <v>13200</v>
      </c>
    </row>
    <row r="5" ht="18.0" customHeight="1">
      <c r="A5" s="24" t="s">
        <v>171</v>
      </c>
      <c r="B5" s="26" t="s">
        <v>26</v>
      </c>
      <c r="C5" s="77" t="str">
        <f>'2. Báo cáo Ngân lưu'!C8</f>
        <v/>
      </c>
      <c r="D5" s="77" t="str">
        <f>'2. Báo cáo Ngân lưu'!D8</f>
        <v/>
      </c>
      <c r="E5" s="77" t="str">
        <f>'2. Báo cáo Ngân lưu'!E8</f>
        <v/>
      </c>
      <c r="F5" s="77" t="str">
        <f>'2. Báo cáo Ngân lưu'!F8</f>
        <v/>
      </c>
      <c r="G5" s="77" t="str">
        <f>'2. Báo cáo Ngân lưu'!G8</f>
        <v/>
      </c>
      <c r="H5" s="77" t="str">
        <f>'2. Báo cáo Ngân lưu'!H8</f>
        <v/>
      </c>
      <c r="I5" s="77" t="str">
        <f>'2. Báo cáo Ngân lưu'!I8</f>
        <v/>
      </c>
    </row>
    <row r="6" ht="18.0" customHeight="1">
      <c r="A6" s="24" t="s">
        <v>174</v>
      </c>
      <c r="B6" s="26" t="s">
        <v>26</v>
      </c>
      <c r="C6" s="77">
        <f>'2. Báo cáo Ngân lưu'!C11</f>
        <v>112</v>
      </c>
      <c r="D6" s="77">
        <f>'2. Báo cáo Ngân lưu'!D11</f>
        <v>322.56</v>
      </c>
      <c r="E6" s="77">
        <f>'2. Báo cáo Ngân lưu'!E11</f>
        <v>823.2</v>
      </c>
      <c r="F6" s="77">
        <f>'2. Báo cáo Ngân lưu'!F11</f>
        <v>1848</v>
      </c>
      <c r="G6" s="77">
        <f>'2. Báo cáo Ngân lưu'!G11</f>
        <v>3920</v>
      </c>
      <c r="H6" s="77">
        <f>'2. Báo cáo Ngân lưu'!H11</f>
        <v>8092</v>
      </c>
      <c r="I6" s="77">
        <f>'2. Báo cáo Ngân lưu'!I11</f>
        <v>12320</v>
      </c>
    </row>
    <row r="7" ht="18.0" customHeight="1">
      <c r="A7" s="53" t="s">
        <v>177</v>
      </c>
      <c r="B7" s="55" t="s">
        <v>26</v>
      </c>
      <c r="C7" s="65">
        <f>'3. Chi phí chi tiết'!C27</f>
        <v>1489.04</v>
      </c>
      <c r="D7" s="65">
        <f>'3. Chi phí chi tiết'!D27</f>
        <v>1887.9472</v>
      </c>
      <c r="E7" s="65">
        <f>'3. Chi phí chi tiết'!E27</f>
        <v>2809.054</v>
      </c>
      <c r="F7" s="65">
        <f>'3. Chi phí chi tiết'!F27</f>
        <v>4232.74</v>
      </c>
      <c r="G7" s="65">
        <f>'3. Chi phí chi tiết'!G27</f>
        <v>6058.24545</v>
      </c>
      <c r="H7" s="65">
        <f>'3. Chi phí chi tiết'!H27</f>
        <v>9537.238381</v>
      </c>
      <c r="I7" s="65">
        <f>'3. Chi phí chi tiết'!I27</f>
        <v>13266.7983</v>
      </c>
    </row>
    <row r="8" ht="18.0" customHeight="1">
      <c r="A8" s="32" t="s">
        <v>180</v>
      </c>
      <c r="B8" s="34" t="s">
        <v>26</v>
      </c>
      <c r="C8" s="83">
        <f>'7. Lạm phát &amp; Khấu hao'!D43</f>
        <v>492.8571429</v>
      </c>
      <c r="D8" s="83">
        <f>'7. Lạm phát &amp; Khấu hao'!E43</f>
        <v>482.8571429</v>
      </c>
      <c r="E8" s="83">
        <f>'7. Lạm phát &amp; Khấu hao'!F43</f>
        <v>482.8571429</v>
      </c>
      <c r="F8" s="83">
        <f>'7. Lạm phát &amp; Khấu hao'!G43</f>
        <v>282.8571429</v>
      </c>
      <c r="G8" s="83">
        <f>'7. Lạm phát &amp; Khấu hao'!H43</f>
        <v>282.8571429</v>
      </c>
      <c r="H8" s="83">
        <f>'7. Lạm phát &amp; Khấu hao'!I43</f>
        <v>282.8571429</v>
      </c>
      <c r="I8" s="83">
        <f>'7. Lạm phát &amp; Khấu hao'!J43</f>
        <v>282.8571429</v>
      </c>
    </row>
    <row r="9" ht="18.0" customHeight="1">
      <c r="A9" s="80" t="s">
        <v>184</v>
      </c>
      <c r="B9" s="86" t="s">
        <v>26</v>
      </c>
      <c r="C9" s="89">
        <f t="shared" ref="C9:I9" si="1">C3-C7-C8</f>
        <v>-1389.897143</v>
      </c>
      <c r="D9" s="89">
        <f t="shared" si="1"/>
        <v>-968.2443429</v>
      </c>
      <c r="E9" s="89">
        <f t="shared" si="1"/>
        <v>-368.7111429</v>
      </c>
      <c r="F9" s="89">
        <f t="shared" si="1"/>
        <v>932.4028571</v>
      </c>
      <c r="G9" s="89">
        <f t="shared" si="1"/>
        <v>3578.897407</v>
      </c>
      <c r="H9" s="89">
        <f t="shared" si="1"/>
        <v>8471.904476</v>
      </c>
      <c r="I9" s="89">
        <f t="shared" si="1"/>
        <v>14522.34456</v>
      </c>
    </row>
    <row r="10" ht="18.0" customHeight="1">
      <c r="A10" s="32" t="s">
        <v>185</v>
      </c>
      <c r="B10" s="34" t="s">
        <v>26</v>
      </c>
      <c r="C10" s="65">
        <f>-'2. Báo cáo Ngân lưu'!C45</f>
        <v>-113.96</v>
      </c>
      <c r="D10" s="65">
        <f>-'2. Báo cáo Ngân lưu'!D45</f>
        <v>-95.66140753</v>
      </c>
      <c r="E10" s="65">
        <f>-'2. Báo cáo Ngân lưu'!E45</f>
        <v>-75.34996988</v>
      </c>
      <c r="F10" s="65">
        <f>-'2. Báo cáo Ngân lưu'!F45</f>
        <v>-52.8042741</v>
      </c>
      <c r="G10" s="65">
        <f>-'2. Báo cáo Ngân lưu'!G45</f>
        <v>-27.77855178</v>
      </c>
      <c r="H10" s="65">
        <v>0.0</v>
      </c>
      <c r="I10" s="65">
        <v>0.0</v>
      </c>
    </row>
    <row r="11" ht="18.0" customHeight="1">
      <c r="A11" s="94" t="s">
        <v>188</v>
      </c>
      <c r="B11" s="95" t="s">
        <v>26</v>
      </c>
      <c r="C11" s="89">
        <f t="shared" ref="C11:I11" si="2">C9+C10</f>
        <v>-1503.857143</v>
      </c>
      <c r="D11" s="89">
        <f t="shared" si="2"/>
        <v>-1063.90575</v>
      </c>
      <c r="E11" s="89">
        <f t="shared" si="2"/>
        <v>-444.0611127</v>
      </c>
      <c r="F11" s="89">
        <f t="shared" si="2"/>
        <v>879.598583</v>
      </c>
      <c r="G11" s="89">
        <f t="shared" si="2"/>
        <v>3551.118855</v>
      </c>
      <c r="H11" s="89">
        <f t="shared" si="2"/>
        <v>8471.904476</v>
      </c>
      <c r="I11" s="89">
        <f t="shared" si="2"/>
        <v>14522.34456</v>
      </c>
    </row>
    <row r="12" ht="18.0" customHeight="1">
      <c r="A12" s="32" t="s">
        <v>190</v>
      </c>
      <c r="B12" s="34" t="s">
        <v>26</v>
      </c>
      <c r="C12" s="36">
        <f>-MAX(0,'1. Giả định &amp; Thông số'!$B$16*C11)</f>
        <v>0</v>
      </c>
      <c r="D12" s="36">
        <f>-MAX(0,'1. Giả định &amp; Thông số'!$B$16*D11)</f>
        <v>0</v>
      </c>
      <c r="E12" s="36">
        <f>-MAX(0,'1. Giả định &amp; Thông số'!$B$16*E11)</f>
        <v>0</v>
      </c>
      <c r="F12" s="36">
        <f>-MAX(0,'1. Giả định &amp; Thông số'!$B$16*F11)</f>
        <v>-175.9197166</v>
      </c>
      <c r="G12" s="36">
        <f>-MAX(0,'1. Giả định &amp; Thông số'!$B$16*G11)</f>
        <v>-710.2237711</v>
      </c>
      <c r="H12" s="36">
        <f>-MAX(0,'1. Giả định &amp; Thông số'!$B$16*H11)</f>
        <v>-1694.380895</v>
      </c>
      <c r="I12" s="36">
        <f>-MAX(0,'1. Giả định &amp; Thông số'!$B$16*I11)</f>
        <v>-2904.468911</v>
      </c>
    </row>
    <row r="13" ht="18.0" customHeight="1">
      <c r="A13" s="48" t="s">
        <v>193</v>
      </c>
      <c r="B13" s="49" t="s">
        <v>26</v>
      </c>
      <c r="C13" s="51">
        <f t="shared" ref="C13:I13" si="3">C11+C12</f>
        <v>-1503.857143</v>
      </c>
      <c r="D13" s="51">
        <f t="shared" si="3"/>
        <v>-1063.90575</v>
      </c>
      <c r="E13" s="51">
        <f t="shared" si="3"/>
        <v>-444.0611127</v>
      </c>
      <c r="F13" s="51">
        <f t="shared" si="3"/>
        <v>703.6788664</v>
      </c>
      <c r="G13" s="51">
        <f t="shared" si="3"/>
        <v>2840.895084</v>
      </c>
      <c r="H13" s="51">
        <f t="shared" si="3"/>
        <v>6777.523581</v>
      </c>
      <c r="I13" s="51">
        <f t="shared" si="3"/>
        <v>11617.87565</v>
      </c>
    </row>
    <row r="14" ht="18.0" customHeight="1">
      <c r="A14" s="82" t="s">
        <v>195</v>
      </c>
      <c r="B14" s="23" t="s">
        <v>26</v>
      </c>
      <c r="C14" s="100">
        <f t="shared" ref="C14:I14" si="4">IF(C3&gt;0,C13/C3,"N/A")</f>
        <v>-2.540299228</v>
      </c>
      <c r="D14" s="100">
        <f t="shared" si="4"/>
        <v>-0.758545624</v>
      </c>
      <c r="E14" s="100">
        <f t="shared" si="4"/>
        <v>-0.1519092477</v>
      </c>
      <c r="F14" s="100">
        <f t="shared" si="4"/>
        <v>0.1291627875</v>
      </c>
      <c r="G14" s="100">
        <f t="shared" si="4"/>
        <v>0.2863805529</v>
      </c>
      <c r="H14" s="100">
        <f t="shared" si="4"/>
        <v>0.3705184551</v>
      </c>
      <c r="I14" s="100">
        <f t="shared" si="4"/>
        <v>0.413859919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20.0"/>
    <col customWidth="1" min="4" max="4" width="45.0"/>
    <col customWidth="1" min="5" max="26" width="8.57"/>
  </cols>
  <sheetData>
    <row r="1" ht="34.5" customHeight="1">
      <c r="A1" s="122" t="s">
        <v>216</v>
      </c>
      <c r="B1" s="7"/>
      <c r="C1" s="7"/>
      <c r="D1" s="12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4" t="s">
        <v>217</v>
      </c>
      <c r="B2" s="7"/>
      <c r="C2" s="7"/>
      <c r="D2" s="12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.0" customHeight="1">
      <c r="A3" s="125" t="s">
        <v>218</v>
      </c>
      <c r="B3" s="125" t="s">
        <v>219</v>
      </c>
      <c r="C3" s="125" t="s">
        <v>220</v>
      </c>
      <c r="D3" s="125" t="s">
        <v>221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26" t="s">
        <v>222</v>
      </c>
      <c r="B4" s="7"/>
      <c r="C4" s="7"/>
      <c r="D4" s="123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6.5" customHeight="1">
      <c r="A5" s="127" t="s">
        <v>223</v>
      </c>
      <c r="B5" s="128">
        <f>'2. Báo cáo Ngân lưu'!B62</f>
        <v>5109.678726</v>
      </c>
      <c r="C5" s="129" t="str">
        <f>IF(B5&gt;0," NPV &gt; 0 → Dự án khả thi tạo giá trị","NPV &lt; 0 → Cần xem xét lại")</f>
        <v> NPV &gt; 0 → Dự án khả thi tạo giá trị</v>
      </c>
      <c r="D5" s="130" t="s">
        <v>224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7" t="s">
        <v>225</v>
      </c>
      <c r="B6" s="131">
        <f>'2. Báo cáo Ngân lưu'!B63</f>
        <v>0.3494964921</v>
      </c>
      <c r="C6" s="129" t="str">
        <f>IF(ISNUMBER(B6),IF(B6&gt;'1. Giả định &amp; Thông số'!$B$17," IRR &gt; WACC → Dự án sinh lợi vượt chi phí vốn","⚠ IRR &lt; WACC → Cần xem xét lại"),"N/A")</f>
        <v> IRR &gt; WACC → Dự án sinh lợi vượt chi phí vốn</v>
      </c>
      <c r="D6" s="130" t="s">
        <v>226</v>
      </c>
      <c r="E6" s="13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61.5" customHeight="1">
      <c r="A7" s="127" t="s">
        <v>227</v>
      </c>
      <c r="B7" s="131">
        <f>IFERROR(MIRR('2. Báo cáo Ngân lưu'!B54:I54,'1. Giả định &amp; Thông số'!$B$17,'1. Giả định &amp; Thông số'!$B$17),"N/A")</f>
        <v>0.3001814705</v>
      </c>
      <c r="C7" s="129" t="str">
        <f>IF(ISNUMBER(B7),IF(B7&gt;'1. Giả định &amp; Thông số'!$B$17," MIRR &gt; WACC → Khả thi","⚠ MIRR &lt; WACC → Xem lại"),"N/A")</f>
        <v> MIRR &gt; WACC → Khả thi</v>
      </c>
      <c r="D7" s="133" t="s">
        <v>228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6.5" customHeight="1">
      <c r="A8" s="127" t="s">
        <v>229</v>
      </c>
      <c r="B8" s="134">
        <f>('2. Báo cáo Ngân lưu'!B62 + ABS('2. Báo cáo Ngân lưu'!B54)) / ABS('2. Báo cáo Ngân lưu'!B54)</f>
        <v>4.288081549</v>
      </c>
      <c r="C8" s="129" t="str">
        <f>IF(B8&gt;=1," BCR ≥ 1 → Lợi ích vượt chi phí"," BCR &lt; 1 → Chi phí &gt; lợi ích")</f>
        <v> BCR ≥ 1 → Lợi ích vượt chi phí</v>
      </c>
      <c r="D8" s="133" t="s">
        <v>230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6.5" customHeight="1">
      <c r="A9" s="127" t="s">
        <v>231</v>
      </c>
      <c r="B9" s="128">
        <f>B5*'1. Giả định &amp; Thông số'!$B$17/(1-(1+'1. Giả định &amp; Thông số'!$B$17)^(-7))</f>
        <v>1203.210955</v>
      </c>
      <c r="C9" s="129" t="str">
        <f>IF(B9&gt;0," EAB &gt; 0 → Dự án có lợi nhuận hàng năm"," EAB ≤ 0")</f>
        <v> EAB &gt; 0 → Dự án có lợi nhuận hàng năm</v>
      </c>
      <c r="D9" s="133" t="s">
        <v>232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7" t="s">
        <v>233</v>
      </c>
      <c r="B10" s="135">
        <f>'2. Báo cáo Ngân lưu'!B65</f>
        <v>5.16</v>
      </c>
      <c r="C10" s="129"/>
      <c r="D10" s="13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79.5" customHeight="1">
      <c r="A11" s="127" t="s">
        <v>234</v>
      </c>
      <c r="B11" s="135" t="s">
        <v>235</v>
      </c>
      <c r="C11" s="136" t="s">
        <v>236</v>
      </c>
      <c r="D11" s="133" t="s">
        <v>237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61.5" customHeight="1">
      <c r="A12" s="127" t="s">
        <v>238</v>
      </c>
      <c r="B12" s="131">
        <f>'1. Giả định &amp; Thông số'!$B$17</f>
        <v>0.1432</v>
      </c>
      <c r="C12" s="129" t="str">
        <f>'1. Giả định &amp; Thông số'!B20&amp;" = Re×E/V + Rd×(1-T)×D/V"</f>
        <v>N1 = Re×E/V + Rd×(1-T)×D/V</v>
      </c>
      <c r="D12" s="133" t="s">
        <v>239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0" customHeight="1">
      <c r="A13" s="137"/>
      <c r="B13" s="137"/>
      <c r="C13" s="137"/>
      <c r="D13" s="13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54.0" customHeight="1">
      <c r="A14" s="138" t="s">
        <v>240</v>
      </c>
      <c r="B14" s="7"/>
      <c r="C14" s="7"/>
      <c r="D14" s="12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5.0" customHeight="1">
      <c r="A15" s="139" t="s">
        <v>241</v>
      </c>
      <c r="B15" s="139" t="s">
        <v>242</v>
      </c>
      <c r="C15" s="139" t="s">
        <v>243</v>
      </c>
      <c r="D15" s="139" t="s">
        <v>244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1.5" customHeight="1">
      <c r="A16" s="15" t="s">
        <v>245</v>
      </c>
      <c r="B16" s="140">
        <f t="array" ref="B16">NPV('1. Giả định &amp; Thông số'!B17,'2. Báo cáo Ngân lưu'!C59:I59)*0.5+'2. Báo cáo Ngân lưu'!B54</f>
        <v>-478.3842295</v>
      </c>
      <c r="C16" s="141" t="str">
        <f>IF(B16&gt;0,"Khả thi"," Không khả thi")</f>
        <v> Không khả thi</v>
      </c>
      <c r="D16" s="70" t="s">
        <v>246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1.5" customHeight="1">
      <c r="A17" s="133" t="s">
        <v>247</v>
      </c>
      <c r="B17" s="140">
        <f t="array" ref="B17">NPV('1. Giả định &amp; Thông số'!B17,'2. Báo cáo Ngân lưu'!C59:I59)*0.75+'2. Báo cáo Ngân lưu'!B54</f>
        <v>59.42365579</v>
      </c>
      <c r="C17" s="142" t="str">
        <f t="shared" ref="C17:C18" si="1">IF(B17&gt;0," Khả thi"," Không khả thi")</f>
        <v> Khả thi</v>
      </c>
      <c r="D17" s="133" t="s">
        <v>248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1.5" customHeight="1">
      <c r="A18" s="143" t="s">
        <v>249</v>
      </c>
      <c r="B18" s="144">
        <f>'2. Báo cáo Ngân lưu'!B62</f>
        <v>5109.678726</v>
      </c>
      <c r="C18" s="145" t="str">
        <f t="shared" si="1"/>
        <v> Khả thi</v>
      </c>
      <c r="D18" s="146" t="s">
        <v>250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1.5" customHeight="1">
      <c r="A19" s="133" t="s">
        <v>251</v>
      </c>
      <c r="B19" s="140">
        <f t="array" ref="B19">NPV('1. Giả định &amp; Thông số'!B17,'2. Báo cáo Ngân lưu'!C59:I59)*1.25+'2. Báo cáo Ngân lưu'!B54</f>
        <v>1135.039426</v>
      </c>
      <c r="C19" s="142" t="str">
        <f t="shared" ref="C19:C20" si="2">IF(B19&gt;0,"Khả thi","Không khả thi")</f>
        <v>Khả thi</v>
      </c>
      <c r="D19" s="130" t="s">
        <v>252</v>
      </c>
      <c r="E19" s="13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1.5" customHeight="1">
      <c r="A20" s="133" t="s">
        <v>253</v>
      </c>
      <c r="B20" s="140">
        <f t="array" ref="B20">NPV('1. Giả định &amp; Thông số'!B17,'2. Báo cáo Ngân lưu'!C59:I59)*1.5+'2. Báo cáo Ngân lưu'!B54</f>
        <v>1672.847312</v>
      </c>
      <c r="C20" s="142" t="str">
        <f t="shared" si="2"/>
        <v>Khả thi</v>
      </c>
      <c r="D20" s="133" t="s">
        <v>254</v>
      </c>
      <c r="E20" s="13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.5" customHeight="1">
      <c r="A21" s="137"/>
      <c r="B21" s="137"/>
      <c r="C21" s="137"/>
      <c r="D21" s="13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7" t="s">
        <v>255</v>
      </c>
      <c r="B22" s="7"/>
      <c r="C22" s="7"/>
      <c r="D22" s="12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0.0" customHeight="1">
      <c r="A23" s="148" t="s">
        <v>256</v>
      </c>
      <c r="B23" s="148" t="s">
        <v>257</v>
      </c>
      <c r="C23" s="148" t="s">
        <v>243</v>
      </c>
      <c r="D23" s="148" t="s">
        <v>258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0.75" customHeight="1">
      <c r="A24" s="149">
        <v>0.1</v>
      </c>
      <c r="B24" s="133" t="s">
        <v>259</v>
      </c>
      <c r="C24" s="142">
        <f t="array" ref="C24">NPV(0.1,'2. Báo cáo Ngân lưu'!C54:I54)+'2. Báo cáo Ngân lưu'!B54</f>
        <v>7351.994143</v>
      </c>
      <c r="D24" s="133" t="str">
        <f t="shared" ref="D24:D28" si="3">IF(C24&gt;0,"Khả thi","Không khả thi → review kịch bản")</f>
        <v>Khả thi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0.75" customHeight="1">
      <c r="A25" s="149">
        <v>0.1264</v>
      </c>
      <c r="B25" s="133" t="s">
        <v>260</v>
      </c>
      <c r="C25" s="142">
        <f t="array" ref="C25">NPV(0.1264,'2. Báo cáo Ngân lưu'!C54:I54)+'2. Báo cáo Ngân lưu'!B54</f>
        <v>5904.232476</v>
      </c>
      <c r="D25" s="133" t="str">
        <f t="shared" si="3"/>
        <v>Khả thi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0.75" customHeight="1">
      <c r="A26" s="151">
        <v>0.1432</v>
      </c>
      <c r="B26" s="153" t="s">
        <v>262</v>
      </c>
      <c r="C26" s="155">
        <f t="array" ref="C26">NPV(0.1432,'2. Báo cáo Ngân lưu'!C54:I54)+'2. Báo cáo Ngân lưu'!B54</f>
        <v>5109.678726</v>
      </c>
      <c r="D26" s="156" t="str">
        <f t="shared" si="3"/>
        <v>Khả thi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0.75" customHeight="1">
      <c r="A27" s="149">
        <v>0.2</v>
      </c>
      <c r="B27" s="133" t="s">
        <v>265</v>
      </c>
      <c r="C27" s="142">
        <f t="array" ref="C27">NPV(0.2,'2. Báo cáo Ngân lưu'!C54:I54)+'2. Báo cáo Ngân lưu'!B54</f>
        <v>2994.266289</v>
      </c>
      <c r="D27" s="133" t="str">
        <f t="shared" si="3"/>
        <v>Khả thi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0.75" customHeight="1">
      <c r="A28" s="149">
        <v>0.25</v>
      </c>
      <c r="B28" s="133" t="s">
        <v>268</v>
      </c>
      <c r="C28" s="142">
        <f t="array" ref="C28">NPV(0.25,'2. Báo cáo Ngân lưu'!C54:I54)+'2. Báo cáo Ngân lưu'!B54</f>
        <v>1675.721659</v>
      </c>
      <c r="D28" s="133" t="str">
        <f t="shared" si="3"/>
        <v>Khả thi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7.5" customHeight="1">
      <c r="A30" s="137"/>
      <c r="B30" s="137"/>
      <c r="C30" s="137"/>
      <c r="D30" s="137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</sheetData>
  <mergeCells count="5">
    <mergeCell ref="A1:D1"/>
    <mergeCell ref="A2:D2"/>
    <mergeCell ref="A4:D4"/>
    <mergeCell ref="A14:D14"/>
    <mergeCell ref="A22:D2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10" width="13.0"/>
    <col customWidth="1" min="11" max="26" width="8.57"/>
  </cols>
  <sheetData>
    <row r="1" ht="27.75" customHeight="1">
      <c r="A1" s="150" t="s">
        <v>261</v>
      </c>
      <c r="B1" s="3"/>
      <c r="C1" s="3"/>
      <c r="D1" s="3"/>
      <c r="E1" s="3"/>
      <c r="F1" s="3"/>
      <c r="G1" s="3"/>
      <c r="H1" s="3"/>
      <c r="I1" s="3"/>
      <c r="J1" s="8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 ht="18.0" customHeight="1">
      <c r="A2" s="154" t="s">
        <v>263</v>
      </c>
      <c r="B2" s="3"/>
      <c r="C2" s="3"/>
      <c r="D2" s="3"/>
      <c r="E2" s="3"/>
      <c r="F2" s="3"/>
      <c r="G2" s="3"/>
      <c r="H2" s="3"/>
      <c r="I2" s="3"/>
      <c r="J2" s="8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ht="14.25" customHeight="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ht="19.5" customHeight="1">
      <c r="A4" s="157" t="s">
        <v>264</v>
      </c>
      <c r="B4" s="3"/>
      <c r="C4" s="3"/>
      <c r="D4" s="3"/>
      <c r="E4" s="3"/>
      <c r="F4" s="3"/>
      <c r="G4" s="3"/>
      <c r="H4" s="3"/>
      <c r="I4" s="3"/>
      <c r="J4" s="8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ht="15.0" customHeight="1">
      <c r="A5" s="158" t="s">
        <v>4</v>
      </c>
      <c r="B5" s="158" t="s">
        <v>8</v>
      </c>
      <c r="C5" s="158" t="s">
        <v>266</v>
      </c>
      <c r="D5" s="158" t="s">
        <v>11</v>
      </c>
      <c r="E5" s="158" t="s">
        <v>12</v>
      </c>
      <c r="F5" s="158" t="s">
        <v>13</v>
      </c>
      <c r="G5" s="158" t="s">
        <v>15</v>
      </c>
      <c r="H5" s="158" t="s">
        <v>16</v>
      </c>
      <c r="I5" s="158" t="s">
        <v>17</v>
      </c>
      <c r="J5" s="158" t="s">
        <v>18</v>
      </c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ht="15.0" customHeight="1">
      <c r="A6" s="159" t="s">
        <v>267</v>
      </c>
      <c r="B6" s="160" t="s">
        <v>141</v>
      </c>
      <c r="C6" s="161" t="s">
        <v>26</v>
      </c>
      <c r="D6" s="162">
        <v>0.045</v>
      </c>
      <c r="E6" s="162">
        <v>0.045</v>
      </c>
      <c r="F6" s="162">
        <v>0.045</v>
      </c>
      <c r="G6" s="162">
        <v>0.045</v>
      </c>
      <c r="H6" s="162">
        <v>0.045</v>
      </c>
      <c r="I6" s="162">
        <v>0.045</v>
      </c>
      <c r="J6" s="162">
        <v>0.045</v>
      </c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ht="15.0" customHeight="1">
      <c r="A7" s="163" t="s">
        <v>269</v>
      </c>
      <c r="B7" s="164" t="s">
        <v>141</v>
      </c>
      <c r="C7" s="165" t="s">
        <v>26</v>
      </c>
      <c r="D7" s="166">
        <v>0.07</v>
      </c>
      <c r="E7" s="166">
        <v>0.07</v>
      </c>
      <c r="F7" s="166">
        <v>0.07</v>
      </c>
      <c r="G7" s="166">
        <v>0.07</v>
      </c>
      <c r="H7" s="166">
        <v>0.07</v>
      </c>
      <c r="I7" s="166">
        <v>0.07</v>
      </c>
      <c r="J7" s="166">
        <v>0.07</v>
      </c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ht="15.0" customHeight="1">
      <c r="A8" s="159" t="s">
        <v>270</v>
      </c>
      <c r="B8" s="160" t="s">
        <v>141</v>
      </c>
      <c r="C8" s="161" t="s">
        <v>26</v>
      </c>
      <c r="D8" s="162">
        <v>0.04</v>
      </c>
      <c r="E8" s="162">
        <v>0.04</v>
      </c>
      <c r="F8" s="162">
        <v>0.04</v>
      </c>
      <c r="G8" s="162">
        <v>0.04</v>
      </c>
      <c r="H8" s="162">
        <v>0.04</v>
      </c>
      <c r="I8" s="162">
        <v>0.04</v>
      </c>
      <c r="J8" s="162">
        <v>0.04</v>
      </c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ht="15.0" customHeight="1">
      <c r="A9" s="163" t="s">
        <v>271</v>
      </c>
      <c r="B9" s="164" t="s">
        <v>141</v>
      </c>
      <c r="C9" s="165" t="s">
        <v>26</v>
      </c>
      <c r="D9" s="166">
        <v>0.03</v>
      </c>
      <c r="E9" s="166">
        <v>0.03</v>
      </c>
      <c r="F9" s="166">
        <v>0.03</v>
      </c>
      <c r="G9" s="166">
        <v>0.03</v>
      </c>
      <c r="H9" s="166">
        <v>0.03</v>
      </c>
      <c r="I9" s="166">
        <v>0.03</v>
      </c>
      <c r="J9" s="166">
        <v>0.03</v>
      </c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ht="18.0" customHeight="1">
      <c r="A10" s="167" t="s">
        <v>272</v>
      </c>
      <c r="B10" s="3"/>
      <c r="C10" s="3"/>
      <c r="D10" s="3"/>
      <c r="E10" s="3"/>
      <c r="F10" s="3"/>
      <c r="G10" s="3"/>
      <c r="H10" s="3"/>
      <c r="I10" s="3"/>
      <c r="J10" s="8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 ht="15.0" customHeight="1">
      <c r="A11" s="158" t="s">
        <v>4</v>
      </c>
      <c r="B11" s="158" t="s">
        <v>8</v>
      </c>
      <c r="C11" s="158" t="s">
        <v>266</v>
      </c>
      <c r="D11" s="158" t="s">
        <v>11</v>
      </c>
      <c r="E11" s="158" t="s">
        <v>12</v>
      </c>
      <c r="F11" s="158" t="s">
        <v>13</v>
      </c>
      <c r="G11" s="158" t="s">
        <v>15</v>
      </c>
      <c r="H11" s="158" t="s">
        <v>16</v>
      </c>
      <c r="I11" s="158" t="s">
        <v>17</v>
      </c>
      <c r="J11" s="158" t="s">
        <v>18</v>
      </c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 ht="15.0" customHeight="1">
      <c r="A12" s="168" t="s">
        <v>273</v>
      </c>
      <c r="B12" s="169" t="s">
        <v>144</v>
      </c>
      <c r="C12" s="170">
        <v>1.0</v>
      </c>
      <c r="D12" s="171">
        <f t="shared" ref="D12:J12" si="1">C12*(1+$D$6)</f>
        <v>1.045</v>
      </c>
      <c r="E12" s="171">
        <f t="shared" si="1"/>
        <v>1.092025</v>
      </c>
      <c r="F12" s="171">
        <f t="shared" si="1"/>
        <v>1.141166125</v>
      </c>
      <c r="G12" s="171">
        <f t="shared" si="1"/>
        <v>1.192518601</v>
      </c>
      <c r="H12" s="171">
        <f t="shared" si="1"/>
        <v>1.246181938</v>
      </c>
      <c r="I12" s="171">
        <f t="shared" si="1"/>
        <v>1.302260125</v>
      </c>
      <c r="J12" s="171">
        <f t="shared" si="1"/>
        <v>1.36086183</v>
      </c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 ht="15.0" customHeight="1">
      <c r="A13" s="172" t="s">
        <v>274</v>
      </c>
      <c r="B13" s="173" t="s">
        <v>144</v>
      </c>
      <c r="C13" s="174">
        <v>1.0</v>
      </c>
      <c r="D13" s="175">
        <f t="shared" ref="D13:J13" si="2">C13*(1+$D$7)</f>
        <v>1.07</v>
      </c>
      <c r="E13" s="175">
        <f t="shared" si="2"/>
        <v>1.1449</v>
      </c>
      <c r="F13" s="175">
        <f t="shared" si="2"/>
        <v>1.225043</v>
      </c>
      <c r="G13" s="175">
        <f t="shared" si="2"/>
        <v>1.31079601</v>
      </c>
      <c r="H13" s="175">
        <f t="shared" si="2"/>
        <v>1.402551731</v>
      </c>
      <c r="I13" s="175">
        <f t="shared" si="2"/>
        <v>1.500730352</v>
      </c>
      <c r="J13" s="175">
        <f t="shared" si="2"/>
        <v>1.605781476</v>
      </c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 ht="15.0" customHeight="1">
      <c r="A14" s="168" t="s">
        <v>275</v>
      </c>
      <c r="B14" s="169" t="s">
        <v>144</v>
      </c>
      <c r="C14" s="170">
        <v>1.0</v>
      </c>
      <c r="D14" s="171">
        <f t="shared" ref="D14:J14" si="3">C14*(1+$D$8)</f>
        <v>1.04</v>
      </c>
      <c r="E14" s="171">
        <f t="shared" si="3"/>
        <v>1.0816</v>
      </c>
      <c r="F14" s="171">
        <f t="shared" si="3"/>
        <v>1.124864</v>
      </c>
      <c r="G14" s="171">
        <f t="shared" si="3"/>
        <v>1.16985856</v>
      </c>
      <c r="H14" s="171">
        <f t="shared" si="3"/>
        <v>1.216652902</v>
      </c>
      <c r="I14" s="171">
        <f t="shared" si="3"/>
        <v>1.265319018</v>
      </c>
      <c r="J14" s="171">
        <f t="shared" si="3"/>
        <v>1.315931779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 ht="15.0" customHeight="1">
      <c r="A15" s="172" t="s">
        <v>276</v>
      </c>
      <c r="B15" s="173" t="s">
        <v>144</v>
      </c>
      <c r="C15" s="174">
        <v>1.0</v>
      </c>
      <c r="D15" s="175">
        <f t="shared" ref="D15:J15" si="4">C15*(1+$D$9)</f>
        <v>1.03</v>
      </c>
      <c r="E15" s="175">
        <f t="shared" si="4"/>
        <v>1.0609</v>
      </c>
      <c r="F15" s="175">
        <f t="shared" si="4"/>
        <v>1.092727</v>
      </c>
      <c r="G15" s="175">
        <f t="shared" si="4"/>
        <v>1.12550881</v>
      </c>
      <c r="H15" s="175">
        <f t="shared" si="4"/>
        <v>1.159274074</v>
      </c>
      <c r="I15" s="175">
        <f t="shared" si="4"/>
        <v>1.194052297</v>
      </c>
      <c r="J15" s="175">
        <f t="shared" si="4"/>
        <v>1.229873865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 ht="14.25" customHeight="1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 ht="19.5" customHeight="1">
      <c r="A17" s="157" t="s">
        <v>277</v>
      </c>
      <c r="B17" s="3"/>
      <c r="C17" s="3"/>
      <c r="D17" s="3"/>
      <c r="E17" s="3"/>
      <c r="F17" s="3"/>
      <c r="G17" s="3"/>
      <c r="H17" s="3"/>
      <c r="I17" s="3"/>
      <c r="J17" s="8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 ht="15.0" customHeight="1">
      <c r="A18" s="158" t="s">
        <v>4</v>
      </c>
      <c r="B18" s="158" t="s">
        <v>8</v>
      </c>
      <c r="C18" s="158" t="s">
        <v>266</v>
      </c>
      <c r="D18" s="158" t="s">
        <v>11</v>
      </c>
      <c r="E18" s="158" t="s">
        <v>12</v>
      </c>
      <c r="F18" s="158" t="s">
        <v>13</v>
      </c>
      <c r="G18" s="158" t="s">
        <v>15</v>
      </c>
      <c r="H18" s="158" t="s">
        <v>16</v>
      </c>
      <c r="I18" s="158" t="s">
        <v>17</v>
      </c>
      <c r="J18" s="158" t="s">
        <v>18</v>
      </c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 ht="15.0" customHeight="1">
      <c r="A19" s="168" t="s">
        <v>278</v>
      </c>
      <c r="B19" s="169" t="s">
        <v>279</v>
      </c>
      <c r="C19" s="176" t="s">
        <v>26</v>
      </c>
      <c r="D19" s="177">
        <f>'2. Báo cáo Ngân lưu'!C15</f>
        <v>592</v>
      </c>
      <c r="E19" s="177">
        <f>'2. Báo cáo Ngân lưu'!D15</f>
        <v>1402.56</v>
      </c>
      <c r="F19" s="177">
        <f>'2. Báo cáo Ngân lưu'!E15</f>
        <v>2923.2</v>
      </c>
      <c r="G19" s="177">
        <f>'2. Báo cáo Ngân lưu'!F15</f>
        <v>5448</v>
      </c>
      <c r="H19" s="177">
        <f>'2. Báo cáo Ngân lưu'!G15</f>
        <v>9920</v>
      </c>
      <c r="I19" s="177">
        <f>'2. Báo cáo Ngân lưu'!H15</f>
        <v>18292</v>
      </c>
      <c r="J19" s="177">
        <f>'2. Báo cáo Ngân lưu'!I15</f>
        <v>28072</v>
      </c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 ht="15.0" customHeight="1">
      <c r="A20" s="172" t="s">
        <v>280</v>
      </c>
      <c r="B20" s="173" t="s">
        <v>279</v>
      </c>
      <c r="C20" s="178"/>
      <c r="D20" s="178">
        <f t="shared" ref="D20:J20" si="5">D19/D12</f>
        <v>566.507177</v>
      </c>
      <c r="E20" s="178">
        <f t="shared" si="5"/>
        <v>1284.3662</v>
      </c>
      <c r="F20" s="178">
        <f t="shared" si="5"/>
        <v>2561.590233</v>
      </c>
      <c r="G20" s="178">
        <f t="shared" si="5"/>
        <v>4568.4822</v>
      </c>
      <c r="H20" s="178">
        <f t="shared" si="5"/>
        <v>7960.314381</v>
      </c>
      <c r="I20" s="178">
        <f t="shared" si="5"/>
        <v>14046.34884</v>
      </c>
      <c r="J20" s="178">
        <f t="shared" si="5"/>
        <v>20628.10446</v>
      </c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 ht="15.0" customHeight="1">
      <c r="A21" s="168" t="s">
        <v>281</v>
      </c>
      <c r="B21" s="169" t="s">
        <v>282</v>
      </c>
      <c r="C21" s="179"/>
      <c r="D21" s="179"/>
      <c r="E21" s="179">
        <f t="shared" ref="E21:J21" si="6">E20/D20-1</f>
        <v>1.267166688</v>
      </c>
      <c r="F21" s="179">
        <f t="shared" si="6"/>
        <v>0.99443915</v>
      </c>
      <c r="G21" s="179">
        <f t="shared" si="6"/>
        <v>0.783455504</v>
      </c>
      <c r="H21" s="179">
        <f t="shared" si="6"/>
        <v>0.7424418074</v>
      </c>
      <c r="I21" s="179">
        <f t="shared" si="6"/>
        <v>0.764546998</v>
      </c>
      <c r="J21" s="179">
        <f t="shared" si="6"/>
        <v>0.468574125</v>
      </c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 ht="15.0" customHeight="1">
      <c r="A22" s="172" t="s">
        <v>283</v>
      </c>
      <c r="B22" s="173" t="s">
        <v>279</v>
      </c>
      <c r="C22" s="180" t="s">
        <v>26</v>
      </c>
      <c r="D22" s="177">
        <f>'3. Chi phí chi tiết'!C27</f>
        <v>1489.04</v>
      </c>
      <c r="E22" s="177">
        <f>'3. Chi phí chi tiết'!D27</f>
        <v>1887.9472</v>
      </c>
      <c r="F22" s="177">
        <f>'3. Chi phí chi tiết'!E27</f>
        <v>2809.054</v>
      </c>
      <c r="G22" s="177">
        <f>'3. Chi phí chi tiết'!F27</f>
        <v>4232.74</v>
      </c>
      <c r="H22" s="177">
        <f>'3. Chi phí chi tiết'!G27</f>
        <v>6058.24545</v>
      </c>
      <c r="I22" s="177">
        <f>'3. Chi phí chi tiết'!H27</f>
        <v>9537.238381</v>
      </c>
      <c r="J22" s="177">
        <f>'3. Chi phí chi tiết'!I27</f>
        <v>13266.7983</v>
      </c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ht="15.0" customHeight="1">
      <c r="A23" s="168" t="s">
        <v>284</v>
      </c>
      <c r="B23" s="169" t="s">
        <v>279</v>
      </c>
      <c r="C23" s="181"/>
      <c r="D23" s="181">
        <f t="shared" ref="D23:J23" si="7">D22/D13</f>
        <v>1391.626168</v>
      </c>
      <c r="E23" s="181">
        <f t="shared" si="7"/>
        <v>1649.006201</v>
      </c>
      <c r="F23" s="181">
        <f t="shared" si="7"/>
        <v>2293.024816</v>
      </c>
      <c r="G23" s="181">
        <f t="shared" si="7"/>
        <v>3229.13708</v>
      </c>
      <c r="H23" s="181">
        <f t="shared" si="7"/>
        <v>4319.445278</v>
      </c>
      <c r="I23" s="181">
        <f t="shared" si="7"/>
        <v>6355.064632</v>
      </c>
      <c r="J23" s="181">
        <f t="shared" si="7"/>
        <v>8261.895217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 ht="15.0" customHeight="1">
      <c r="A24" s="182" t="s">
        <v>285</v>
      </c>
      <c r="B24" s="183" t="s">
        <v>279</v>
      </c>
      <c r="C24" s="184"/>
      <c r="D24" s="184">
        <f t="shared" ref="D24:J24" si="8">D20-D23</f>
        <v>-825.1189912</v>
      </c>
      <c r="E24" s="184">
        <f t="shared" si="8"/>
        <v>-364.640001</v>
      </c>
      <c r="F24" s="184">
        <f t="shared" si="8"/>
        <v>268.5654167</v>
      </c>
      <c r="G24" s="184">
        <f t="shared" si="8"/>
        <v>1339.34512</v>
      </c>
      <c r="H24" s="184">
        <f t="shared" si="8"/>
        <v>3640.869104</v>
      </c>
      <c r="I24" s="184">
        <f t="shared" si="8"/>
        <v>7691.284213</v>
      </c>
      <c r="J24" s="184">
        <f t="shared" si="8"/>
        <v>12366.20925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ht="14.2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ht="14.2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ht="19.5" customHeight="1">
      <c r="A27" s="157" t="s">
        <v>286</v>
      </c>
      <c r="B27" s="3"/>
      <c r="C27" s="3"/>
      <c r="D27" s="3"/>
      <c r="E27" s="3"/>
      <c r="F27" s="3"/>
      <c r="G27" s="3"/>
      <c r="H27" s="3"/>
      <c r="I27" s="3"/>
      <c r="J27" s="8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ht="15.0" customHeight="1">
      <c r="A28" s="158" t="s">
        <v>4</v>
      </c>
      <c r="B28" s="158" t="s">
        <v>8</v>
      </c>
      <c r="C28" s="158" t="s">
        <v>266</v>
      </c>
      <c r="D28" s="158" t="s">
        <v>11</v>
      </c>
      <c r="E28" s="158" t="s">
        <v>12</v>
      </c>
      <c r="F28" s="158" t="s">
        <v>13</v>
      </c>
      <c r="G28" s="158" t="s">
        <v>15</v>
      </c>
      <c r="H28" s="158" t="s">
        <v>16</v>
      </c>
      <c r="I28" s="158" t="s">
        <v>17</v>
      </c>
      <c r="J28" s="158" t="s">
        <v>18</v>
      </c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ht="15.0" customHeight="1">
      <c r="A29" s="167" t="s">
        <v>287</v>
      </c>
      <c r="B29" s="3"/>
      <c r="C29" s="3"/>
      <c r="D29" s="3"/>
      <c r="E29" s="3"/>
      <c r="F29" s="3"/>
      <c r="G29" s="3"/>
      <c r="H29" s="3"/>
      <c r="I29" s="3"/>
      <c r="J29" s="8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ht="15.0" customHeight="1">
      <c r="A30" s="158" t="s">
        <v>288</v>
      </c>
      <c r="B30" s="185" t="s">
        <v>289</v>
      </c>
      <c r="C30" s="185" t="s">
        <v>290</v>
      </c>
      <c r="D30" s="185" t="s">
        <v>291</v>
      </c>
      <c r="E30" s="185" t="s">
        <v>292</v>
      </c>
      <c r="F30" s="158"/>
      <c r="G30" s="186"/>
      <c r="H30" s="186"/>
      <c r="I30" s="186"/>
      <c r="J30" s="186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ht="15.0" customHeight="1">
      <c r="A31" s="163" t="s">
        <v>293</v>
      </c>
      <c r="B31" s="177">
        <f>'1. Giả định &amp; Thông số'!$B$5</f>
        <v>1800</v>
      </c>
      <c r="C31" s="187">
        <v>7.0</v>
      </c>
      <c r="D31" s="188">
        <v>0.0</v>
      </c>
      <c r="E31" s="181">
        <f t="shared" ref="E31:E34" si="9">B31/C31</f>
        <v>257.1428571</v>
      </c>
      <c r="F31" s="189"/>
      <c r="G31" s="189"/>
      <c r="H31" s="189"/>
      <c r="I31" s="189"/>
      <c r="J31" s="189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ht="15.0" customHeight="1">
      <c r="A32" s="159" t="s">
        <v>294</v>
      </c>
      <c r="B32" s="190">
        <f>'1. Giả định &amp; Thông số'!$B$6</f>
        <v>180</v>
      </c>
      <c r="C32" s="191">
        <v>7.0</v>
      </c>
      <c r="D32" s="192">
        <v>0.0</v>
      </c>
      <c r="E32" s="178">
        <f t="shared" si="9"/>
        <v>25.71428571</v>
      </c>
      <c r="F32" s="193"/>
      <c r="G32" s="193"/>
      <c r="H32" s="193"/>
      <c r="I32" s="193"/>
      <c r="J32" s="193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ht="15.0" customHeight="1">
      <c r="A33" s="163" t="s">
        <v>295</v>
      </c>
      <c r="B33" s="177">
        <f>'1. Giả định &amp; Thông số'!$B$7</f>
        <v>600</v>
      </c>
      <c r="C33" s="164">
        <v>3.0</v>
      </c>
      <c r="D33" s="188">
        <v>0.0</v>
      </c>
      <c r="E33" s="181">
        <f t="shared" si="9"/>
        <v>200</v>
      </c>
      <c r="F33" s="189"/>
      <c r="G33" s="189"/>
      <c r="H33" s="189"/>
      <c r="I33" s="189"/>
      <c r="J33" s="189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ht="15.0" customHeight="1">
      <c r="A34" s="159" t="s">
        <v>20</v>
      </c>
      <c r="B34" s="190">
        <f>'1. Giả định &amp; Thông số'!$B$4</f>
        <v>10</v>
      </c>
      <c r="C34" s="160">
        <v>1.0</v>
      </c>
      <c r="D34" s="192">
        <v>0.0</v>
      </c>
      <c r="E34" s="178">
        <f t="shared" si="9"/>
        <v>10</v>
      </c>
      <c r="F34" s="193"/>
      <c r="G34" s="193"/>
      <c r="H34" s="193"/>
      <c r="I34" s="193"/>
      <c r="J34" s="193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ht="15.0" customHeight="1">
      <c r="A35" s="182" t="s">
        <v>296</v>
      </c>
      <c r="B35" s="194">
        <f>SUM(B31:B34)</f>
        <v>2590</v>
      </c>
      <c r="C35" s="183" t="s">
        <v>26</v>
      </c>
      <c r="D35" s="194">
        <f t="shared" ref="D35:E35" si="10">SUM(D31:D34)</f>
        <v>0</v>
      </c>
      <c r="E35" s="194">
        <f t="shared" si="10"/>
        <v>492.8571429</v>
      </c>
      <c r="F35" s="195"/>
      <c r="G35" s="195"/>
      <c r="H35" s="195"/>
      <c r="I35" s="195"/>
      <c r="J35" s="195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ht="14.2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ht="15.0" customHeight="1">
      <c r="A37" s="167" t="s">
        <v>297</v>
      </c>
      <c r="B37" s="3"/>
      <c r="C37" s="3"/>
      <c r="D37" s="3"/>
      <c r="E37" s="3"/>
      <c r="F37" s="3"/>
      <c r="G37" s="3"/>
      <c r="H37" s="3"/>
      <c r="I37" s="3"/>
      <c r="J37" s="8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ht="15.0" customHeight="1">
      <c r="A38" s="158" t="s">
        <v>4</v>
      </c>
      <c r="B38" s="158" t="s">
        <v>8</v>
      </c>
      <c r="C38" s="158" t="s">
        <v>266</v>
      </c>
      <c r="D38" s="158" t="s">
        <v>11</v>
      </c>
      <c r="E38" s="158" t="s">
        <v>12</v>
      </c>
      <c r="F38" s="158" t="s">
        <v>13</v>
      </c>
      <c r="G38" s="158" t="s">
        <v>15</v>
      </c>
      <c r="H38" s="158" t="s">
        <v>16</v>
      </c>
      <c r="I38" s="158" t="s">
        <v>17</v>
      </c>
      <c r="J38" s="158" t="s">
        <v>18</v>
      </c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5.0" customHeight="1">
      <c r="A39" s="168" t="s">
        <v>298</v>
      </c>
      <c r="B39" s="169" t="s">
        <v>26</v>
      </c>
      <c r="C39" s="169" t="s">
        <v>26</v>
      </c>
      <c r="D39" s="181">
        <f t="shared" ref="D39:D42" si="11">E31</f>
        <v>257.1428571</v>
      </c>
      <c r="E39" s="181">
        <f t="shared" ref="E39:E41" si="12">E31</f>
        <v>257.1428571</v>
      </c>
      <c r="F39" s="181">
        <f t="shared" ref="F39:F41" si="13">E31</f>
        <v>257.1428571</v>
      </c>
      <c r="G39" s="181">
        <f t="shared" ref="G39:G40" si="14">E31</f>
        <v>257.1428571</v>
      </c>
      <c r="H39" s="181">
        <f t="shared" ref="H39:H40" si="15">E31</f>
        <v>257.1428571</v>
      </c>
      <c r="I39" s="181">
        <f t="shared" ref="I39:I40" si="16">E31</f>
        <v>257.1428571</v>
      </c>
      <c r="J39" s="181">
        <f t="shared" ref="J39:J40" si="17">E31</f>
        <v>257.1428571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ht="15.0" customHeight="1">
      <c r="A40" s="172" t="s">
        <v>299</v>
      </c>
      <c r="B40" s="173" t="s">
        <v>26</v>
      </c>
      <c r="C40" s="173" t="s">
        <v>26</v>
      </c>
      <c r="D40" s="178">
        <f t="shared" si="11"/>
        <v>25.71428571</v>
      </c>
      <c r="E40" s="178">
        <f t="shared" si="12"/>
        <v>25.71428571</v>
      </c>
      <c r="F40" s="178">
        <f t="shared" si="13"/>
        <v>25.71428571</v>
      </c>
      <c r="G40" s="178">
        <f t="shared" si="14"/>
        <v>25.71428571</v>
      </c>
      <c r="H40" s="178">
        <f t="shared" si="15"/>
        <v>25.71428571</v>
      </c>
      <c r="I40" s="178">
        <f t="shared" si="16"/>
        <v>25.71428571</v>
      </c>
      <c r="J40" s="178">
        <f t="shared" si="17"/>
        <v>25.71428571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ht="15.0" customHeight="1">
      <c r="A41" s="168" t="s">
        <v>300</v>
      </c>
      <c r="B41" s="169" t="s">
        <v>26</v>
      </c>
      <c r="C41" s="169" t="s">
        <v>26</v>
      </c>
      <c r="D41" s="181">
        <f t="shared" si="11"/>
        <v>200</v>
      </c>
      <c r="E41" s="181">
        <f t="shared" si="12"/>
        <v>200</v>
      </c>
      <c r="F41" s="181">
        <f t="shared" si="13"/>
        <v>200</v>
      </c>
      <c r="G41" s="169" t="s">
        <v>26</v>
      </c>
      <c r="H41" s="169" t="s">
        <v>26</v>
      </c>
      <c r="I41" s="169" t="s">
        <v>26</v>
      </c>
      <c r="J41" s="169" t="s">
        <v>26</v>
      </c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ht="15.0" customHeight="1">
      <c r="A42" s="172" t="s">
        <v>301</v>
      </c>
      <c r="B42" s="173" t="s">
        <v>26</v>
      </c>
      <c r="C42" s="173" t="s">
        <v>26</v>
      </c>
      <c r="D42" s="178">
        <f t="shared" si="11"/>
        <v>10</v>
      </c>
      <c r="E42" s="173" t="s">
        <v>26</v>
      </c>
      <c r="F42" s="173" t="s">
        <v>26</v>
      </c>
      <c r="G42" s="173" t="s">
        <v>26</v>
      </c>
      <c r="H42" s="173" t="s">
        <v>26</v>
      </c>
      <c r="I42" s="173" t="s">
        <v>26</v>
      </c>
      <c r="J42" s="173" t="s">
        <v>26</v>
      </c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ht="15.0" customHeight="1">
      <c r="A43" s="182" t="s">
        <v>302</v>
      </c>
      <c r="B43" s="183" t="s">
        <v>279</v>
      </c>
      <c r="C43" s="183" t="s">
        <v>26</v>
      </c>
      <c r="D43" s="194">
        <f t="shared" ref="D43:J43" si="18">SUM(D39:D42)</f>
        <v>492.8571429</v>
      </c>
      <c r="E43" s="194">
        <f t="shared" si="18"/>
        <v>482.8571429</v>
      </c>
      <c r="F43" s="194">
        <f t="shared" si="18"/>
        <v>482.8571429</v>
      </c>
      <c r="G43" s="194">
        <f t="shared" si="18"/>
        <v>282.8571429</v>
      </c>
      <c r="H43" s="194">
        <f t="shared" si="18"/>
        <v>282.8571429</v>
      </c>
      <c r="I43" s="194">
        <f t="shared" si="18"/>
        <v>282.8571429</v>
      </c>
      <c r="J43" s="194">
        <f t="shared" si="18"/>
        <v>282.8571429</v>
      </c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 ht="15.0" customHeight="1">
      <c r="A44" s="168" t="s">
        <v>303</v>
      </c>
      <c r="B44" s="169" t="s">
        <v>279</v>
      </c>
      <c r="C44" s="169" t="s">
        <v>26</v>
      </c>
      <c r="D44" s="181">
        <f>D43</f>
        <v>492.8571429</v>
      </c>
      <c r="E44" s="181">
        <f t="shared" ref="E44:J44" si="19">D44+E43</f>
        <v>975.7142857</v>
      </c>
      <c r="F44" s="181">
        <f t="shared" si="19"/>
        <v>1458.571429</v>
      </c>
      <c r="G44" s="181">
        <f t="shared" si="19"/>
        <v>1741.428571</v>
      </c>
      <c r="H44" s="181">
        <f t="shared" si="19"/>
        <v>2024.285714</v>
      </c>
      <c r="I44" s="181">
        <f t="shared" si="19"/>
        <v>2307.142857</v>
      </c>
      <c r="J44" s="181">
        <f t="shared" si="19"/>
        <v>2590</v>
      </c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ht="15.0" customHeight="1">
      <c r="A45" s="172" t="s">
        <v>304</v>
      </c>
      <c r="B45" s="173" t="s">
        <v>279</v>
      </c>
      <c r="C45" s="178">
        <f>$B$35</f>
        <v>2590</v>
      </c>
      <c r="D45" s="178">
        <f t="shared" ref="D45:J45" si="20">$B$35-D44</f>
        <v>2097.142857</v>
      </c>
      <c r="E45" s="178">
        <f t="shared" si="20"/>
        <v>1614.285714</v>
      </c>
      <c r="F45" s="178">
        <f t="shared" si="20"/>
        <v>1131.428571</v>
      </c>
      <c r="G45" s="178">
        <f t="shared" si="20"/>
        <v>848.5714286</v>
      </c>
      <c r="H45" s="178">
        <f t="shared" si="20"/>
        <v>565.7142857</v>
      </c>
      <c r="I45" s="178">
        <f t="shared" si="20"/>
        <v>282.8571429</v>
      </c>
      <c r="J45" s="178">
        <f t="shared" si="20"/>
        <v>0</v>
      </c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 ht="15.0" customHeight="1">
      <c r="A46" s="168" t="s">
        <v>305</v>
      </c>
      <c r="B46" s="169" t="s">
        <v>282</v>
      </c>
      <c r="C46" s="169" t="s">
        <v>26</v>
      </c>
      <c r="D46" s="179">
        <f t="shared" ref="D46:J46" si="21">D44/$B$35</f>
        <v>0.1902923331</v>
      </c>
      <c r="E46" s="179">
        <f t="shared" si="21"/>
        <v>0.3767236624</v>
      </c>
      <c r="F46" s="179">
        <f t="shared" si="21"/>
        <v>0.5631549917</v>
      </c>
      <c r="G46" s="179">
        <f t="shared" si="21"/>
        <v>0.6723662438</v>
      </c>
      <c r="H46" s="179">
        <f t="shared" si="21"/>
        <v>0.7815774959</v>
      </c>
      <c r="I46" s="179">
        <f t="shared" si="21"/>
        <v>0.8907887479</v>
      </c>
      <c r="J46" s="179">
        <f t="shared" si="21"/>
        <v>1</v>
      </c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 ht="14.2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 ht="14.2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 ht="19.5" customHeight="1">
      <c r="A49" s="157" t="s">
        <v>306</v>
      </c>
      <c r="B49" s="3"/>
      <c r="C49" s="3"/>
      <c r="D49" s="3"/>
      <c r="E49" s="3"/>
      <c r="F49" s="3"/>
      <c r="G49" s="3"/>
      <c r="H49" s="3"/>
      <c r="I49" s="3"/>
      <c r="J49" s="8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ht="15.0" customHeight="1">
      <c r="A50" s="158" t="s">
        <v>4</v>
      </c>
      <c r="B50" s="158" t="s">
        <v>8</v>
      </c>
      <c r="C50" s="158" t="s">
        <v>266</v>
      </c>
      <c r="D50" s="158" t="s">
        <v>11</v>
      </c>
      <c r="E50" s="158" t="s">
        <v>12</v>
      </c>
      <c r="F50" s="158" t="s">
        <v>13</v>
      </c>
      <c r="G50" s="158" t="s">
        <v>15</v>
      </c>
      <c r="H50" s="158" t="s">
        <v>16</v>
      </c>
      <c r="I50" s="158" t="s">
        <v>17</v>
      </c>
      <c r="J50" s="158" t="s">
        <v>18</v>
      </c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ht="15.0" customHeight="1">
      <c r="A51" s="168" t="s">
        <v>307</v>
      </c>
      <c r="B51" s="169" t="s">
        <v>279</v>
      </c>
      <c r="C51" s="176" t="s">
        <v>26</v>
      </c>
      <c r="D51" s="177">
        <f>'4. Báo cáo Thu nhập'!C9</f>
        <v>-1389.897143</v>
      </c>
      <c r="E51" s="177">
        <f>'4. Báo cáo Thu nhập'!D9</f>
        <v>-968.2443429</v>
      </c>
      <c r="F51" s="177">
        <f>'4. Báo cáo Thu nhập'!E9</f>
        <v>-368.7111429</v>
      </c>
      <c r="G51" s="177">
        <f>'4. Báo cáo Thu nhập'!F9</f>
        <v>932.4028571</v>
      </c>
      <c r="H51" s="177">
        <f>'4. Báo cáo Thu nhập'!G9</f>
        <v>3578.897407</v>
      </c>
      <c r="I51" s="177">
        <f>'4. Báo cáo Thu nhập'!H9</f>
        <v>8471.904476</v>
      </c>
      <c r="J51" s="177">
        <f>'4. Báo cáo Thu nhập'!I9</f>
        <v>14522.34456</v>
      </c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ht="15.0" customHeight="1">
      <c r="A52" s="172" t="s">
        <v>308</v>
      </c>
      <c r="B52" s="173" t="s">
        <v>279</v>
      </c>
      <c r="C52" s="178"/>
      <c r="D52" s="178">
        <f t="shared" ref="D52:J52" si="22">D43</f>
        <v>492.8571429</v>
      </c>
      <c r="E52" s="178">
        <f t="shared" si="22"/>
        <v>482.8571429</v>
      </c>
      <c r="F52" s="178">
        <f t="shared" si="22"/>
        <v>482.8571429</v>
      </c>
      <c r="G52" s="178">
        <f t="shared" si="22"/>
        <v>282.8571429</v>
      </c>
      <c r="H52" s="178">
        <f t="shared" si="22"/>
        <v>282.8571429</v>
      </c>
      <c r="I52" s="178">
        <f t="shared" si="22"/>
        <v>282.8571429</v>
      </c>
      <c r="J52" s="178">
        <f t="shared" si="22"/>
        <v>282.8571429</v>
      </c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ht="15.0" customHeight="1">
      <c r="A53" s="182" t="s">
        <v>309</v>
      </c>
      <c r="B53" s="183" t="s">
        <v>279</v>
      </c>
      <c r="C53" s="194"/>
      <c r="D53" s="194">
        <f t="shared" ref="D53:J53" si="23">D51+D52</f>
        <v>-897.04</v>
      </c>
      <c r="E53" s="194">
        <f t="shared" si="23"/>
        <v>-485.3872</v>
      </c>
      <c r="F53" s="194">
        <f t="shared" si="23"/>
        <v>114.146</v>
      </c>
      <c r="G53" s="194">
        <f t="shared" si="23"/>
        <v>1215.26</v>
      </c>
      <c r="H53" s="194">
        <f t="shared" si="23"/>
        <v>3861.75455</v>
      </c>
      <c r="I53" s="194">
        <f t="shared" si="23"/>
        <v>8754.761619</v>
      </c>
      <c r="J53" s="194">
        <f t="shared" si="23"/>
        <v>14805.2017</v>
      </c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 ht="15.0" customHeight="1">
      <c r="A54" s="172" t="s">
        <v>310</v>
      </c>
      <c r="B54" s="173" t="s">
        <v>279</v>
      </c>
      <c r="C54" s="178"/>
      <c r="D54" s="178">
        <f t="shared" ref="D54:J54" si="24">D53/D12</f>
        <v>-858.4114833</v>
      </c>
      <c r="E54" s="178">
        <f t="shared" si="24"/>
        <v>-444.483597</v>
      </c>
      <c r="F54" s="178">
        <f t="shared" si="24"/>
        <v>100.0257522</v>
      </c>
      <c r="G54" s="178">
        <f t="shared" si="24"/>
        <v>1019.070058</v>
      </c>
      <c r="H54" s="178">
        <f t="shared" si="24"/>
        <v>3098.86898</v>
      </c>
      <c r="I54" s="178">
        <f t="shared" si="24"/>
        <v>6722.744137</v>
      </c>
      <c r="J54" s="178">
        <f t="shared" si="24"/>
        <v>10879.28353</v>
      </c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 ht="15.0" customHeight="1">
      <c r="A55" s="168" t="s">
        <v>311</v>
      </c>
      <c r="B55" s="169" t="s">
        <v>282</v>
      </c>
      <c r="C55" s="179"/>
      <c r="D55" s="179">
        <f t="shared" ref="D55:J55" si="25">IFERROR(D53/D19,"-")</f>
        <v>-1.51527027</v>
      </c>
      <c r="E55" s="179">
        <f t="shared" si="25"/>
        <v>-0.3460723249</v>
      </c>
      <c r="F55" s="179">
        <f t="shared" si="25"/>
        <v>0.03904830323</v>
      </c>
      <c r="G55" s="179">
        <f t="shared" si="25"/>
        <v>0.2230653451</v>
      </c>
      <c r="H55" s="179">
        <f t="shared" si="25"/>
        <v>0.3892897732</v>
      </c>
      <c r="I55" s="179">
        <f t="shared" si="25"/>
        <v>0.4786115033</v>
      </c>
      <c r="J55" s="179">
        <f t="shared" si="25"/>
        <v>0.5274010295</v>
      </c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 ht="15.0" customHeight="1">
      <c r="A56" s="172" t="s">
        <v>312</v>
      </c>
      <c r="B56" s="173" t="s">
        <v>279</v>
      </c>
      <c r="C56" s="178"/>
      <c r="D56" s="178">
        <f t="shared" ref="D56:J56" si="26">D22*(D13-1)</f>
        <v>104.2328</v>
      </c>
      <c r="E56" s="178">
        <f t="shared" si="26"/>
        <v>273.5635493</v>
      </c>
      <c r="F56" s="178">
        <f t="shared" si="26"/>
        <v>632.1579393</v>
      </c>
      <c r="G56" s="178">
        <f t="shared" si="26"/>
        <v>1315.518703</v>
      </c>
      <c r="H56" s="178">
        <f t="shared" si="26"/>
        <v>2438.757191</v>
      </c>
      <c r="I56" s="178">
        <f t="shared" si="26"/>
        <v>4775.58473</v>
      </c>
      <c r="J56" s="178">
        <f t="shared" si="26"/>
        <v>8036.780662</v>
      </c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 ht="15.0" customHeight="1">
      <c r="A57" s="182" t="s">
        <v>313</v>
      </c>
      <c r="B57" s="183" t="s">
        <v>279</v>
      </c>
      <c r="C57" s="194"/>
      <c r="D57" s="194">
        <f t="shared" ref="D57:J57" si="27">D54-D56</f>
        <v>-962.6442833</v>
      </c>
      <c r="E57" s="194">
        <f t="shared" si="27"/>
        <v>-718.0471463</v>
      </c>
      <c r="F57" s="194">
        <f t="shared" si="27"/>
        <v>-532.1321872</v>
      </c>
      <c r="G57" s="194">
        <f t="shared" si="27"/>
        <v>-296.448645</v>
      </c>
      <c r="H57" s="194">
        <f t="shared" si="27"/>
        <v>660.1117891</v>
      </c>
      <c r="I57" s="194">
        <f t="shared" si="27"/>
        <v>1947.159407</v>
      </c>
      <c r="J57" s="194">
        <f t="shared" si="27"/>
        <v>2842.502869</v>
      </c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ht="14.2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ht="14.2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ht="15.0" customHeight="1">
      <c r="A60" s="157" t="s">
        <v>314</v>
      </c>
      <c r="B60" s="3"/>
      <c r="C60" s="3"/>
      <c r="D60" s="3"/>
      <c r="E60" s="3"/>
      <c r="F60" s="3"/>
      <c r="G60" s="3"/>
      <c r="H60" s="3"/>
      <c r="I60" s="3"/>
      <c r="J60" s="8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ht="15.75" customHeight="1">
      <c r="A61" s="196" t="s">
        <v>315</v>
      </c>
      <c r="B61" s="3"/>
      <c r="C61" s="3"/>
      <c r="D61" s="3"/>
      <c r="E61" s="3"/>
      <c r="F61" s="3"/>
      <c r="G61" s="3"/>
      <c r="H61" s="3"/>
      <c r="I61" s="3"/>
      <c r="J61" s="8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ht="15.75" customHeight="1">
      <c r="A62" s="196" t="s">
        <v>316</v>
      </c>
      <c r="B62" s="3"/>
      <c r="C62" s="3"/>
      <c r="D62" s="3"/>
      <c r="E62" s="3"/>
      <c r="F62" s="3"/>
      <c r="G62" s="3"/>
      <c r="H62" s="3"/>
      <c r="I62" s="3"/>
      <c r="J62" s="8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ht="15.75" customHeight="1">
      <c r="A63" s="196" t="s">
        <v>317</v>
      </c>
      <c r="B63" s="3"/>
      <c r="C63" s="3"/>
      <c r="D63" s="3"/>
      <c r="E63" s="3"/>
      <c r="F63" s="3"/>
      <c r="G63" s="3"/>
      <c r="H63" s="3"/>
      <c r="I63" s="3"/>
      <c r="J63" s="8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ht="15.75" customHeight="1">
      <c r="A64" s="196" t="s">
        <v>318</v>
      </c>
      <c r="B64" s="3"/>
      <c r="C64" s="3"/>
      <c r="D64" s="3"/>
      <c r="E64" s="3"/>
      <c r="F64" s="3"/>
      <c r="G64" s="3"/>
      <c r="H64" s="3"/>
      <c r="I64" s="3"/>
      <c r="J64" s="8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ht="15.75" customHeight="1">
      <c r="A65" s="196" t="s">
        <v>319</v>
      </c>
      <c r="B65" s="3"/>
      <c r="C65" s="3"/>
      <c r="D65" s="3"/>
      <c r="E65" s="3"/>
      <c r="F65" s="3"/>
      <c r="G65" s="3"/>
      <c r="H65" s="3"/>
      <c r="I65" s="3"/>
      <c r="J65" s="8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ht="15.75" customHeight="1">
      <c r="A66" s="196" t="s">
        <v>320</v>
      </c>
      <c r="B66" s="3"/>
      <c r="C66" s="3"/>
      <c r="D66" s="3"/>
      <c r="E66" s="3"/>
      <c r="F66" s="3"/>
      <c r="G66" s="3"/>
      <c r="H66" s="3"/>
      <c r="I66" s="3"/>
      <c r="J66" s="8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97" t="s">
        <v>321</v>
      </c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ht="14.2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ht="14.2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ht="14.2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ht="14.2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ht="14.2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ht="14.2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ht="14.2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ht="14.2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ht="14.2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 ht="14.2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ht="14.2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ht="14.2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ht="14.2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ht="14.2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ht="14.2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ht="14.2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ht="14.2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ht="14.2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ht="14.2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ht="14.2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ht="14.2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 ht="14.2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 ht="14.2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 ht="14.2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 ht="14.2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 ht="14.2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 ht="14.2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 ht="14.2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 ht="14.2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ht="14.2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 ht="14.2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ht="14.2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ht="14.2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ht="14.2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ht="14.2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ht="14.2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ht="14.2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ht="14.2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ht="14.2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 ht="14.2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 ht="14.2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 ht="14.2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 ht="14.2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 ht="14.2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 ht="14.2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 ht="14.2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 ht="14.2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 ht="14.2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 ht="14.2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 ht="14.2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 ht="14.2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 ht="14.2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 ht="14.2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 ht="14.2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 ht="14.2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 ht="14.2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 ht="14.2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 ht="14.2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 ht="14.2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 ht="14.2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 ht="14.2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 ht="14.2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 ht="14.2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 ht="14.2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 ht="14.2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 ht="14.2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 ht="14.2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 ht="14.2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 ht="14.2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 ht="14.2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 ht="14.2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 ht="14.2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ht="14.2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ht="14.2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ht="14.2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ht="14.2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ht="14.2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ht="14.2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ht="14.2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ht="14.2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ht="14.2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ht="14.2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ht="14.2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ht="14.2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ht="14.2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 ht="14.2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 ht="14.2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 ht="14.2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 ht="14.2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 ht="14.2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 ht="14.2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 ht="14.2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 ht="14.2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 ht="14.2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 ht="14.2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 ht="14.2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ht="14.2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 ht="14.2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 ht="14.2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 ht="14.2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 ht="14.2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 ht="14.2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 ht="14.2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 ht="14.2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 ht="14.2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 ht="14.2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 ht="14.2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 ht="14.2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 ht="14.2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 ht="14.2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 ht="14.2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 ht="14.2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 ht="14.2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 ht="14.2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 ht="14.2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 ht="14.2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 ht="14.2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 ht="14.2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 ht="14.2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 ht="14.2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 ht="14.2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 ht="14.2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 ht="14.2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 ht="14.2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 ht="14.2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 ht="14.2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 ht="14.2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 ht="14.2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 ht="14.2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 ht="14.2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 ht="14.2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 ht="14.2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 ht="14.2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 ht="14.2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 ht="14.2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 ht="14.2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 ht="14.2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 ht="14.2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 ht="14.2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 ht="14.2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 ht="14.2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 ht="14.2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 ht="14.2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 ht="14.2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 ht="14.2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 ht="14.2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 ht="14.2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 ht="14.2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 ht="14.2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 ht="14.2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 ht="14.2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 ht="14.2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 ht="14.2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 ht="14.2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 ht="14.2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 ht="14.2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 ht="14.2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 ht="14.2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ht="14.2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ht="14.2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ht="14.2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ht="14.2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 ht="14.2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 ht="14.2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 ht="14.2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 ht="14.2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 ht="14.2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 ht="14.2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 ht="14.2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 ht="14.2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 ht="14.2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 ht="14.2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 ht="14.2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 ht="14.2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 ht="14.2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 ht="14.2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 ht="14.2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 ht="14.2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 ht="14.2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 ht="14.2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 ht="14.2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 ht="14.2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 ht="14.2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 ht="14.2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 ht="14.2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 ht="14.2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 ht="14.2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 ht="14.2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 ht="14.2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 ht="14.2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 ht="14.2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 ht="14.2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 ht="14.2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 ht="14.2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 ht="14.2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 ht="14.2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 ht="14.2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 ht="14.2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 ht="14.2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 ht="14.2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 ht="14.2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 ht="14.2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 ht="14.2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 ht="14.2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 ht="14.2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 ht="14.2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 ht="14.2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 ht="14.2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 ht="14.2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 ht="14.2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 ht="14.2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 ht="14.2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 ht="14.2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 ht="14.2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 ht="14.2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 ht="14.2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 ht="14.2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 ht="14.2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 ht="14.2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 ht="14.2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 ht="14.2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 ht="14.2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 ht="14.2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 ht="14.2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 ht="14.2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 ht="14.2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 ht="14.2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 ht="14.2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 ht="14.2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 ht="14.2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 ht="14.2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 ht="14.2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 ht="14.2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 ht="14.2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 ht="14.2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 ht="14.2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 ht="14.2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 ht="14.2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 ht="14.2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ht="14.2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 ht="14.2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 ht="14.2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 ht="14.2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 ht="14.2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 ht="14.2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 ht="14.2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 ht="14.2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 ht="14.2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 ht="14.2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 ht="14.2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 ht="14.2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 ht="14.2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 ht="14.2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 ht="14.2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 ht="14.2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 ht="14.2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 ht="14.2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 ht="14.2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 ht="14.2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 ht="14.2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 ht="14.2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 ht="14.2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 ht="14.2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 ht="14.2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 ht="14.2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 ht="14.2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 ht="14.2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 ht="14.2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 ht="14.2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 ht="14.2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 ht="14.2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 ht="14.2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 ht="14.2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 ht="14.2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 ht="14.2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 ht="14.2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 ht="14.2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 ht="14.2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 ht="14.2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 ht="14.2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 ht="14.2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 ht="14.2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 ht="14.2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 ht="14.2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 ht="14.2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 ht="14.2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 ht="14.2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 ht="14.2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 ht="14.2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 ht="14.2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 ht="14.2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 ht="14.2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 ht="14.2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 ht="14.2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 ht="14.2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ht="14.2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 ht="14.2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 ht="14.2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 ht="14.2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 ht="14.2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 ht="14.2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 ht="14.2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 ht="14.2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 ht="14.2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 ht="14.2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 ht="14.2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 ht="14.2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 ht="14.2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 ht="14.2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 ht="14.2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 ht="14.2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 ht="14.2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 ht="14.2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 ht="14.2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 ht="14.2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 ht="14.2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 ht="14.2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 ht="14.2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 ht="14.2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 ht="14.2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 ht="14.2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 ht="14.2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 ht="14.2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 ht="14.2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 ht="14.2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 ht="14.2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 ht="14.2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 ht="14.2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 ht="14.2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 ht="14.2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 ht="14.2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 ht="14.2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 ht="14.2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 ht="14.2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 ht="14.2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 ht="14.2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 ht="14.2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 ht="14.2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 ht="14.2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 ht="14.2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 ht="14.2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 ht="14.2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 ht="14.2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 ht="14.2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 ht="14.2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 ht="14.2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 ht="14.2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 ht="14.2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 ht="14.2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 ht="14.2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 ht="14.2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 ht="14.2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 ht="14.2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 ht="14.2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 ht="14.2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 ht="14.2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 ht="14.2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 ht="14.2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ht="14.2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 ht="14.2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 ht="14.2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 ht="14.2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 ht="14.2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 ht="14.2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 ht="14.2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 ht="14.2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 ht="14.2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ht="14.2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 ht="14.2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 ht="14.2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 ht="14.2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 ht="14.2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 ht="14.2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 ht="14.2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 ht="14.2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 ht="14.2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 ht="14.2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 ht="14.2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 ht="14.2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 ht="14.2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 ht="14.2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 ht="14.2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 ht="14.2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 ht="14.2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 ht="14.2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 ht="14.2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 ht="14.2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 ht="14.2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 ht="14.2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 ht="14.2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 ht="14.2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 ht="14.2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 ht="14.2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 ht="14.2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 ht="14.2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 ht="14.2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 ht="14.2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 ht="14.2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 ht="14.2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 ht="14.2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 ht="14.2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 ht="14.2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 ht="14.2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 ht="14.2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 ht="14.2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 ht="14.2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 ht="14.2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 ht="14.2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 ht="14.2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 ht="14.2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 ht="14.2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 ht="14.2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 ht="14.2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 ht="14.2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 ht="14.2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 ht="14.2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 ht="14.2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 ht="14.2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 ht="14.2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 ht="14.2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 ht="14.2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 ht="14.2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 ht="14.2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 ht="14.2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 ht="14.2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 ht="14.2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 ht="14.2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 ht="14.2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 ht="14.2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 ht="14.2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 ht="14.2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 ht="14.2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 ht="14.2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 ht="14.2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 ht="14.2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 ht="14.2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 ht="14.2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 ht="14.2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 ht="14.2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 ht="14.2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 ht="14.2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 ht="14.2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 ht="14.2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 ht="14.2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 ht="14.2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 ht="14.2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 ht="14.2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 ht="14.2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 ht="14.2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 ht="14.2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 ht="14.2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 ht="14.2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 ht="14.2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 ht="14.2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 ht="14.2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 ht="14.2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 ht="14.2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 ht="14.2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 ht="14.2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 ht="14.2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 ht="14.2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 ht="14.2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 ht="14.2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 ht="14.2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 ht="14.2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 ht="14.2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 ht="14.2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 ht="14.2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 ht="14.2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 ht="14.2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 ht="14.2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 ht="14.2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 ht="14.2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 ht="14.2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 ht="14.2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 ht="14.2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 ht="14.2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 ht="14.2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 ht="14.2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 ht="14.2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 ht="14.2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 ht="14.2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 ht="14.2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 ht="14.2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 ht="14.2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 ht="14.2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 ht="14.2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 ht="14.2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 ht="14.2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ht="14.2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ht="14.2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ht="14.2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ht="14.2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ht="14.2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ht="14.2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ht="14.2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ht="14.2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ht="14.2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ht="14.2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ht="14.2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ht="14.2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ht="14.2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ht="14.2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ht="14.2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ht="14.2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ht="14.2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ht="14.2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ht="14.2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ht="14.2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ht="14.2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ht="14.2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ht="14.2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ht="14.2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ht="14.2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ht="14.2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ht="14.2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ht="14.2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ht="14.2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ht="14.2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ht="14.2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ht="14.2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ht="14.2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ht="14.2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ht="14.2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ht="14.2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ht="14.2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ht="14.2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ht="14.2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ht="14.2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ht="14.2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ht="14.2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ht="14.2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ht="14.2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ht="14.2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ht="14.2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ht="14.2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ht="14.2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ht="14.2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ht="14.2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ht="14.2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ht="14.2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ht="14.2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ht="14.2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ht="14.2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ht="14.2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ht="14.2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ht="14.2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ht="14.2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ht="14.2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ht="14.2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ht="14.2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ht="14.2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ht="14.2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ht="14.2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ht="14.2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ht="14.2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ht="14.2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ht="14.2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ht="14.2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ht="14.2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ht="14.2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ht="14.2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ht="14.2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ht="14.2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ht="14.2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ht="14.2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ht="14.2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ht="14.2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ht="14.2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ht="14.2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ht="14.2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ht="14.2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ht="14.2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ht="14.2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ht="14.2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ht="14.2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ht="14.2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ht="14.2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ht="14.2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ht="14.2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ht="14.2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ht="14.2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ht="14.2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ht="14.2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ht="14.2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ht="14.2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ht="14.2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ht="14.2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ht="14.2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ht="14.2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ht="14.2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ht="14.2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ht="14.2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ht="14.2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ht="14.2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ht="14.2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ht="14.2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ht="14.2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ht="14.2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ht="14.2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ht="14.2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ht="14.2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ht="14.2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ht="14.2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ht="14.2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ht="14.2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ht="14.2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ht="14.2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ht="14.2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ht="14.2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ht="14.2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ht="14.2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ht="14.2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ht="14.2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ht="14.2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ht="14.2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ht="14.2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ht="14.2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ht="14.2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ht="14.2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ht="14.2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ht="14.2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ht="14.2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ht="14.2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ht="14.2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ht="14.2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ht="14.2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ht="14.2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ht="14.2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ht="14.2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ht="14.2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ht="14.2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ht="14.2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ht="14.2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ht="14.2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ht="14.2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ht="14.2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ht="14.2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ht="14.2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ht="14.2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ht="14.2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ht="14.2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ht="14.2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ht="14.2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ht="14.2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ht="14.2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ht="14.2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ht="14.2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ht="14.2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ht="14.2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ht="14.2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ht="14.2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ht="14.2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ht="14.2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ht="14.2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ht="14.2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ht="14.2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ht="14.2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ht="14.2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ht="14.2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ht="14.2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ht="14.2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ht="14.2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ht="14.2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ht="14.2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ht="14.2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ht="14.2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ht="14.2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ht="14.2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ht="14.2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ht="14.2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ht="14.2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ht="14.2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ht="14.2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ht="14.2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ht="14.2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ht="14.2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ht="14.2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ht="14.2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ht="14.2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ht="14.2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ht="14.2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ht="14.2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ht="14.2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ht="14.2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ht="14.2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ht="14.2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ht="14.2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ht="14.2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ht="14.2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ht="14.2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ht="14.2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ht="14.2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ht="14.2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ht="14.2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ht="14.2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ht="14.2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ht="14.2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ht="14.2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ht="14.2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ht="14.2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ht="14.2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ht="14.2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ht="14.2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ht="14.2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ht="14.2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ht="14.2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ht="14.2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ht="14.2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ht="14.2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ht="14.2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ht="14.2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ht="14.2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ht="14.2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ht="14.2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ht="14.2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ht="14.2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ht="14.2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ht="14.2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ht="14.2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ht="14.2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ht="14.2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ht="14.2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ht="14.2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ht="14.2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ht="14.2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ht="14.2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ht="14.2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ht="14.2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ht="14.2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ht="14.2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ht="14.2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ht="14.2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ht="14.2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ht="14.2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ht="14.2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ht="14.2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ht="14.2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ht="14.2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ht="14.2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ht="14.2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ht="14.2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ht="14.2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ht="14.2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ht="14.2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ht="14.2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ht="14.2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ht="14.2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ht="14.2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ht="14.2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ht="14.2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ht="14.2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ht="14.2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ht="14.2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ht="14.2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ht="14.2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ht="14.2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ht="14.2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ht="14.2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ht="14.2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ht="14.2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ht="14.2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ht="14.2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ht="14.2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ht="14.2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ht="14.2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ht="14.2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ht="14.2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ht="14.2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ht="14.2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ht="14.2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ht="14.2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ht="14.2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ht="14.2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ht="14.2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ht="14.2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ht="14.2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ht="14.2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ht="14.2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ht="14.2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ht="14.2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ht="14.2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ht="14.2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ht="14.2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ht="14.2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ht="14.2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ht="14.2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ht="14.2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ht="14.2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ht="14.2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ht="14.2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ht="14.2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ht="14.2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ht="14.2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ht="14.2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ht="14.2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ht="14.2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ht="14.2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ht="14.2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ht="14.2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ht="14.2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ht="14.2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ht="14.2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ht="14.2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ht="14.2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ht="14.2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ht="14.2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ht="14.2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ht="14.2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ht="14.2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ht="14.2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ht="14.2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ht="14.2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ht="14.2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ht="14.2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ht="14.2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ht="14.2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ht="14.2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ht="14.2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ht="14.2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ht="14.2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ht="14.2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ht="14.2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ht="14.2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ht="14.2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ht="14.2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ht="14.2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ht="14.2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ht="14.2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ht="14.2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ht="14.2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ht="14.2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ht="14.2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ht="14.2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ht="14.2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ht="14.2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ht="14.2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ht="14.2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ht="14.2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ht="14.2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ht="14.2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ht="14.2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ht="14.2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ht="14.2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ht="14.2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ht="14.2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ht="14.2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ht="14.2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ht="14.2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ht="14.2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ht="14.2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ht="14.2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ht="14.2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ht="14.2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ht="14.2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ht="14.2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ht="14.2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ht="14.2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ht="14.2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ht="14.2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ht="14.2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ht="14.2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ht="14.2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ht="14.2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ht="14.2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ht="14.2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ht="14.2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ht="14.2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ht="14.2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ht="14.2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ht="14.2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ht="14.2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ht="14.2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ht="14.2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ht="14.2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ht="14.2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ht="14.2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 ht="14.2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 ht="14.2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 ht="14.2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 ht="14.2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 ht="14.2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 ht="14.2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 ht="14.2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 ht="14.2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 ht="14.2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 ht="14.2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 ht="14.2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 ht="14.2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 ht="14.2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 ht="14.2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 ht="14.2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 ht="14.2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 ht="14.2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 ht="14.2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 ht="14.2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 ht="14.2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 ht="14.2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 ht="14.2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 ht="14.2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 ht="14.2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 ht="14.2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 ht="14.2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 ht="14.2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 ht="14.2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 ht="14.2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 ht="14.2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 ht="14.2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 ht="14.2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 ht="14.2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 ht="14.2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 ht="14.2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 ht="14.2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 ht="14.2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 ht="14.2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 ht="14.2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 ht="14.2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 ht="14.2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 ht="14.2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 ht="14.2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 ht="14.2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 ht="14.2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 ht="14.2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 ht="14.2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 ht="14.2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 ht="14.2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 ht="14.2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 ht="14.2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 ht="14.2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 ht="14.2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 ht="14.2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 ht="14.2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 ht="14.25" customHeight="1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mergeCells count="16">
    <mergeCell ref="A1:J1"/>
    <mergeCell ref="A2:J2"/>
    <mergeCell ref="A4:J4"/>
    <mergeCell ref="A10:J10"/>
    <mergeCell ref="A17:J17"/>
    <mergeCell ref="A27:J27"/>
    <mergeCell ref="A29:J29"/>
    <mergeCell ref="A65:J65"/>
    <mergeCell ref="A66:J66"/>
    <mergeCell ref="A37:J37"/>
    <mergeCell ref="A49:J49"/>
    <mergeCell ref="A60:J60"/>
    <mergeCell ref="A61:J61"/>
    <mergeCell ref="A62:J62"/>
    <mergeCell ref="A63:J63"/>
    <mergeCell ref="A64:J64"/>
  </mergeCells>
  <printOptions/>
  <pageMargins bottom="1.0" footer="0.0" header="0.0" left="0.75" right="0.75" top="1.0"/>
  <pageSetup paperSize="9" orientation="portrait"/>
  <drawing r:id="rId1"/>
</worksheet>
</file>